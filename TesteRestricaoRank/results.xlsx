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eba\Documents\Github\ForecastingFuelPrices\TesteRestricaoRank\"/>
    </mc:Choice>
  </mc:AlternateContent>
  <xr:revisionPtr revIDLastSave="0" documentId="13_ncr:1_{28A1045C-870A-4139-9C97-08F545AFA1A3}" xr6:coauthVersionLast="47" xr6:coauthVersionMax="47" xr10:uidLastSave="{00000000-0000-0000-0000-000000000000}"/>
  <bookViews>
    <workbookView xWindow="28680" yWindow="-120" windowWidth="29040" windowHeight="15720" xr2:uid="{BAC8664C-A98F-42D3-A008-9514ACD1DC7D}"/>
  </bookViews>
  <sheets>
    <sheet name="results" sheetId="1" r:id="rId1"/>
  </sheets>
  <externalReferences>
    <externalReference r:id="rId2"/>
  </externalReferences>
  <definedNames>
    <definedName name="_xlnm._FilterDatabase" localSheetId="0" hidden="1">results!$A$1:$M$1211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92" i="1" l="1"/>
  <c r="H992" i="1"/>
  <c r="I992" i="1"/>
  <c r="J992" i="1"/>
  <c r="K992" i="1" s="1"/>
  <c r="L992" i="1"/>
  <c r="M992" i="1" s="1"/>
  <c r="G993" i="1"/>
  <c r="H993" i="1"/>
  <c r="I993" i="1"/>
  <c r="J993" i="1"/>
  <c r="K993" i="1" s="1"/>
  <c r="L993" i="1"/>
  <c r="M993" i="1" s="1"/>
  <c r="G994" i="1"/>
  <c r="H994" i="1"/>
  <c r="I994" i="1"/>
  <c r="J994" i="1"/>
  <c r="K994" i="1" s="1"/>
  <c r="L994" i="1"/>
  <c r="M994" i="1" s="1"/>
  <c r="G995" i="1"/>
  <c r="H995" i="1"/>
  <c r="I995" i="1"/>
  <c r="J995" i="1"/>
  <c r="K995" i="1" s="1"/>
  <c r="L995" i="1"/>
  <c r="M995" i="1" s="1"/>
  <c r="G996" i="1"/>
  <c r="H996" i="1"/>
  <c r="I996" i="1"/>
  <c r="J996" i="1"/>
  <c r="K996" i="1" s="1"/>
  <c r="L996" i="1"/>
  <c r="M996" i="1" s="1"/>
  <c r="G997" i="1"/>
  <c r="H997" i="1"/>
  <c r="I997" i="1"/>
  <c r="J997" i="1"/>
  <c r="K997" i="1" s="1"/>
  <c r="L997" i="1"/>
  <c r="M997" i="1" s="1"/>
  <c r="G998" i="1"/>
  <c r="H998" i="1"/>
  <c r="I998" i="1"/>
  <c r="J998" i="1"/>
  <c r="K998" i="1" s="1"/>
  <c r="L998" i="1"/>
  <c r="M998" i="1" s="1"/>
  <c r="G999" i="1"/>
  <c r="H999" i="1"/>
  <c r="I999" i="1"/>
  <c r="J999" i="1"/>
  <c r="K999" i="1" s="1"/>
  <c r="L999" i="1"/>
  <c r="M999" i="1"/>
  <c r="G1000" i="1"/>
  <c r="H1000" i="1"/>
  <c r="I1000" i="1"/>
  <c r="J1000" i="1"/>
  <c r="K1000" i="1" s="1"/>
  <c r="L1000" i="1"/>
  <c r="M1000" i="1" s="1"/>
  <c r="G1001" i="1"/>
  <c r="H1001" i="1"/>
  <c r="I1001" i="1"/>
  <c r="J1001" i="1"/>
  <c r="K1001" i="1" s="1"/>
  <c r="L1001" i="1"/>
  <c r="M1001" i="1" s="1"/>
  <c r="G1002" i="1"/>
  <c r="H1002" i="1"/>
  <c r="I1002" i="1"/>
  <c r="J1002" i="1"/>
  <c r="K1002" i="1" s="1"/>
  <c r="L1002" i="1"/>
  <c r="M1002" i="1" s="1"/>
  <c r="G1003" i="1"/>
  <c r="H1003" i="1"/>
  <c r="I1003" i="1"/>
  <c r="J1003" i="1"/>
  <c r="K1003" i="1" s="1"/>
  <c r="L1003" i="1"/>
  <c r="M1003" i="1" s="1"/>
  <c r="G1004" i="1"/>
  <c r="H1004" i="1"/>
  <c r="I1004" i="1"/>
  <c r="J1004" i="1"/>
  <c r="K1004" i="1" s="1"/>
  <c r="L1004" i="1"/>
  <c r="M1004" i="1" s="1"/>
  <c r="G1005" i="1"/>
  <c r="H1005" i="1"/>
  <c r="I1005" i="1"/>
  <c r="J1005" i="1"/>
  <c r="K1005" i="1" s="1"/>
  <c r="L1005" i="1"/>
  <c r="M1005" i="1" s="1"/>
  <c r="G1006" i="1"/>
  <c r="H1006" i="1"/>
  <c r="I1006" i="1"/>
  <c r="J1006" i="1"/>
  <c r="K1006" i="1" s="1"/>
  <c r="L1006" i="1"/>
  <c r="M1006" i="1" s="1"/>
  <c r="G1007" i="1"/>
  <c r="H1007" i="1"/>
  <c r="I1007" i="1"/>
  <c r="J1007" i="1"/>
  <c r="K1007" i="1" s="1"/>
  <c r="L1007" i="1"/>
  <c r="M1007" i="1" s="1"/>
  <c r="G1008" i="1"/>
  <c r="H1008" i="1"/>
  <c r="I1008" i="1"/>
  <c r="J1008" i="1"/>
  <c r="K1008" i="1" s="1"/>
  <c r="L1008" i="1"/>
  <c r="M1008" i="1" s="1"/>
  <c r="G1009" i="1"/>
  <c r="H1009" i="1"/>
  <c r="I1009" i="1"/>
  <c r="J1009" i="1"/>
  <c r="K1009" i="1" s="1"/>
  <c r="L1009" i="1"/>
  <c r="M1009" i="1" s="1"/>
  <c r="G1010" i="1"/>
  <c r="H1010" i="1"/>
  <c r="I1010" i="1"/>
  <c r="J1010" i="1"/>
  <c r="K1010" i="1" s="1"/>
  <c r="L1010" i="1"/>
  <c r="M1010" i="1" s="1"/>
  <c r="G1011" i="1"/>
  <c r="H1011" i="1"/>
  <c r="I1011" i="1"/>
  <c r="J1011" i="1"/>
  <c r="K1011" i="1" s="1"/>
  <c r="L1011" i="1"/>
  <c r="M1011" i="1" s="1"/>
  <c r="G1012" i="1"/>
  <c r="H1012" i="1"/>
  <c r="I1012" i="1"/>
  <c r="J1012" i="1"/>
  <c r="K1012" i="1" s="1"/>
  <c r="L1012" i="1"/>
  <c r="M1012" i="1" s="1"/>
  <c r="G1013" i="1"/>
  <c r="H1013" i="1"/>
  <c r="I1013" i="1"/>
  <c r="J1013" i="1"/>
  <c r="K1013" i="1" s="1"/>
  <c r="L1013" i="1"/>
  <c r="M1013" i="1" s="1"/>
  <c r="G1014" i="1"/>
  <c r="H1014" i="1"/>
  <c r="I1014" i="1"/>
  <c r="J1014" i="1"/>
  <c r="K1014" i="1" s="1"/>
  <c r="L1014" i="1"/>
  <c r="M1014" i="1" s="1"/>
  <c r="G1015" i="1"/>
  <c r="H1015" i="1"/>
  <c r="I1015" i="1"/>
  <c r="J1015" i="1"/>
  <c r="K1015" i="1" s="1"/>
  <c r="L1015" i="1"/>
  <c r="M1015" i="1" s="1"/>
  <c r="G1016" i="1"/>
  <c r="H1016" i="1"/>
  <c r="I1016" i="1"/>
  <c r="J1016" i="1"/>
  <c r="K1016" i="1" s="1"/>
  <c r="L1016" i="1"/>
  <c r="M1016" i="1" s="1"/>
  <c r="G1017" i="1"/>
  <c r="H1017" i="1"/>
  <c r="I1017" i="1"/>
  <c r="J1017" i="1"/>
  <c r="K1017" i="1" s="1"/>
  <c r="L1017" i="1"/>
  <c r="M1017" i="1" s="1"/>
  <c r="G1018" i="1"/>
  <c r="H1018" i="1"/>
  <c r="I1018" i="1"/>
  <c r="J1018" i="1"/>
  <c r="K1018" i="1" s="1"/>
  <c r="L1018" i="1"/>
  <c r="M1018" i="1" s="1"/>
  <c r="G1019" i="1"/>
  <c r="H1019" i="1"/>
  <c r="I1019" i="1"/>
  <c r="J1019" i="1"/>
  <c r="K1019" i="1" s="1"/>
  <c r="L1019" i="1"/>
  <c r="M1019" i="1" s="1"/>
  <c r="G1020" i="1"/>
  <c r="H1020" i="1"/>
  <c r="I1020" i="1"/>
  <c r="J1020" i="1"/>
  <c r="K1020" i="1" s="1"/>
  <c r="L1020" i="1"/>
  <c r="M1020" i="1" s="1"/>
  <c r="G1021" i="1"/>
  <c r="H1021" i="1"/>
  <c r="I1021" i="1"/>
  <c r="J1021" i="1"/>
  <c r="K1021" i="1" s="1"/>
  <c r="L1021" i="1"/>
  <c r="M1021" i="1" s="1"/>
  <c r="G1022" i="1"/>
  <c r="H1022" i="1"/>
  <c r="I1022" i="1"/>
  <c r="J1022" i="1"/>
  <c r="K1022" i="1" s="1"/>
  <c r="L1022" i="1"/>
  <c r="M1022" i="1" s="1"/>
  <c r="G1023" i="1"/>
  <c r="H1023" i="1"/>
  <c r="I1023" i="1"/>
  <c r="J1023" i="1"/>
  <c r="K1023" i="1" s="1"/>
  <c r="L1023" i="1"/>
  <c r="M1023" i="1" s="1"/>
  <c r="G1024" i="1"/>
  <c r="H1024" i="1"/>
  <c r="I1024" i="1"/>
  <c r="J1024" i="1"/>
  <c r="K1024" i="1" s="1"/>
  <c r="L1024" i="1"/>
  <c r="M1024" i="1" s="1"/>
  <c r="G1025" i="1"/>
  <c r="H1025" i="1"/>
  <c r="I1025" i="1"/>
  <c r="J1025" i="1"/>
  <c r="K1025" i="1" s="1"/>
  <c r="L1025" i="1"/>
  <c r="M1025" i="1" s="1"/>
  <c r="G1026" i="1"/>
  <c r="H1026" i="1"/>
  <c r="I1026" i="1"/>
  <c r="J1026" i="1"/>
  <c r="K1026" i="1" s="1"/>
  <c r="L1026" i="1"/>
  <c r="M1026" i="1" s="1"/>
  <c r="G1027" i="1"/>
  <c r="H1027" i="1"/>
  <c r="I1027" i="1"/>
  <c r="J1027" i="1"/>
  <c r="K1027" i="1" s="1"/>
  <c r="L1027" i="1"/>
  <c r="M1027" i="1" s="1"/>
  <c r="G1028" i="1"/>
  <c r="H1028" i="1"/>
  <c r="I1028" i="1"/>
  <c r="J1028" i="1"/>
  <c r="K1028" i="1" s="1"/>
  <c r="L1028" i="1"/>
  <c r="M1028" i="1" s="1"/>
  <c r="G1029" i="1"/>
  <c r="H1029" i="1"/>
  <c r="I1029" i="1"/>
  <c r="J1029" i="1"/>
  <c r="K1029" i="1" s="1"/>
  <c r="L1029" i="1"/>
  <c r="M1029" i="1" s="1"/>
  <c r="G1030" i="1"/>
  <c r="H1030" i="1"/>
  <c r="I1030" i="1"/>
  <c r="J1030" i="1"/>
  <c r="K1030" i="1" s="1"/>
  <c r="L1030" i="1"/>
  <c r="M1030" i="1" s="1"/>
  <c r="G1031" i="1"/>
  <c r="H1031" i="1"/>
  <c r="I1031" i="1"/>
  <c r="J1031" i="1"/>
  <c r="K1031" i="1" s="1"/>
  <c r="L1031" i="1"/>
  <c r="M1031" i="1" s="1"/>
  <c r="G1032" i="1"/>
  <c r="H1032" i="1"/>
  <c r="I1032" i="1"/>
  <c r="J1032" i="1"/>
  <c r="K1032" i="1" s="1"/>
  <c r="L1032" i="1"/>
  <c r="M1032" i="1" s="1"/>
  <c r="G1033" i="1"/>
  <c r="H1033" i="1"/>
  <c r="I1033" i="1"/>
  <c r="J1033" i="1"/>
  <c r="K1033" i="1" s="1"/>
  <c r="L1033" i="1"/>
  <c r="M1033" i="1" s="1"/>
  <c r="G1034" i="1"/>
  <c r="H1034" i="1"/>
  <c r="I1034" i="1"/>
  <c r="J1034" i="1"/>
  <c r="K1034" i="1" s="1"/>
  <c r="L1034" i="1"/>
  <c r="M1034" i="1" s="1"/>
  <c r="G1035" i="1"/>
  <c r="H1035" i="1"/>
  <c r="I1035" i="1"/>
  <c r="J1035" i="1"/>
  <c r="K1035" i="1" s="1"/>
  <c r="L1035" i="1"/>
  <c r="M1035" i="1" s="1"/>
  <c r="G1036" i="1"/>
  <c r="H1036" i="1"/>
  <c r="I1036" i="1"/>
  <c r="J1036" i="1"/>
  <c r="K1036" i="1" s="1"/>
  <c r="L1036" i="1"/>
  <c r="M1036" i="1" s="1"/>
  <c r="G1037" i="1"/>
  <c r="H1037" i="1"/>
  <c r="I1037" i="1"/>
  <c r="J1037" i="1"/>
  <c r="K1037" i="1" s="1"/>
  <c r="L1037" i="1"/>
  <c r="M1037" i="1" s="1"/>
  <c r="G1038" i="1"/>
  <c r="H1038" i="1"/>
  <c r="I1038" i="1"/>
  <c r="J1038" i="1"/>
  <c r="K1038" i="1" s="1"/>
  <c r="L1038" i="1"/>
  <c r="M1038" i="1" s="1"/>
  <c r="G1039" i="1"/>
  <c r="H1039" i="1"/>
  <c r="I1039" i="1"/>
  <c r="J1039" i="1"/>
  <c r="K1039" i="1" s="1"/>
  <c r="L1039" i="1"/>
  <c r="M1039" i="1" s="1"/>
  <c r="G1040" i="1"/>
  <c r="H1040" i="1"/>
  <c r="I1040" i="1"/>
  <c r="J1040" i="1"/>
  <c r="K1040" i="1" s="1"/>
  <c r="L1040" i="1"/>
  <c r="M1040" i="1" s="1"/>
  <c r="G1041" i="1"/>
  <c r="H1041" i="1"/>
  <c r="I1041" i="1"/>
  <c r="J1041" i="1"/>
  <c r="K1041" i="1" s="1"/>
  <c r="L1041" i="1"/>
  <c r="M1041" i="1" s="1"/>
  <c r="G1042" i="1"/>
  <c r="H1042" i="1"/>
  <c r="I1042" i="1"/>
  <c r="J1042" i="1"/>
  <c r="K1042" i="1" s="1"/>
  <c r="L1042" i="1"/>
  <c r="M1042" i="1" s="1"/>
  <c r="G1043" i="1"/>
  <c r="H1043" i="1"/>
  <c r="I1043" i="1"/>
  <c r="J1043" i="1"/>
  <c r="K1043" i="1" s="1"/>
  <c r="L1043" i="1"/>
  <c r="M1043" i="1" s="1"/>
  <c r="G1044" i="1"/>
  <c r="H1044" i="1"/>
  <c r="I1044" i="1"/>
  <c r="J1044" i="1"/>
  <c r="K1044" i="1" s="1"/>
  <c r="L1044" i="1"/>
  <c r="M1044" i="1" s="1"/>
  <c r="G1045" i="1"/>
  <c r="H1045" i="1"/>
  <c r="I1045" i="1"/>
  <c r="J1045" i="1"/>
  <c r="K1045" i="1" s="1"/>
  <c r="L1045" i="1"/>
  <c r="M1045" i="1" s="1"/>
  <c r="G1046" i="1"/>
  <c r="H1046" i="1"/>
  <c r="I1046" i="1"/>
  <c r="J1046" i="1"/>
  <c r="K1046" i="1" s="1"/>
  <c r="L1046" i="1"/>
  <c r="M1046" i="1" s="1"/>
  <c r="G1047" i="1"/>
  <c r="H1047" i="1"/>
  <c r="I1047" i="1"/>
  <c r="J1047" i="1"/>
  <c r="K1047" i="1" s="1"/>
  <c r="L1047" i="1"/>
  <c r="M1047" i="1" s="1"/>
  <c r="G1048" i="1"/>
  <c r="H1048" i="1"/>
  <c r="I1048" i="1"/>
  <c r="J1048" i="1"/>
  <c r="K1048" i="1" s="1"/>
  <c r="L1048" i="1"/>
  <c r="M1048" i="1" s="1"/>
  <c r="G1049" i="1"/>
  <c r="H1049" i="1"/>
  <c r="I1049" i="1"/>
  <c r="J1049" i="1"/>
  <c r="K1049" i="1" s="1"/>
  <c r="L1049" i="1"/>
  <c r="M1049" i="1" s="1"/>
  <c r="G1050" i="1"/>
  <c r="H1050" i="1"/>
  <c r="I1050" i="1"/>
  <c r="J1050" i="1"/>
  <c r="K1050" i="1" s="1"/>
  <c r="L1050" i="1"/>
  <c r="M1050" i="1" s="1"/>
  <c r="G1051" i="1"/>
  <c r="H1051" i="1"/>
  <c r="I1051" i="1"/>
  <c r="J1051" i="1"/>
  <c r="K1051" i="1" s="1"/>
  <c r="L1051" i="1"/>
  <c r="M1051" i="1" s="1"/>
  <c r="G1052" i="1"/>
  <c r="H1052" i="1"/>
  <c r="I1052" i="1"/>
  <c r="J1052" i="1"/>
  <c r="K1052" i="1" s="1"/>
  <c r="L1052" i="1"/>
  <c r="M1052" i="1" s="1"/>
  <c r="G1053" i="1"/>
  <c r="H1053" i="1"/>
  <c r="I1053" i="1"/>
  <c r="J1053" i="1"/>
  <c r="K1053" i="1"/>
  <c r="L1053" i="1"/>
  <c r="M1053" i="1" s="1"/>
  <c r="G1054" i="1"/>
  <c r="H1054" i="1"/>
  <c r="I1054" i="1"/>
  <c r="J1054" i="1"/>
  <c r="K1054" i="1" s="1"/>
  <c r="L1054" i="1"/>
  <c r="M1054" i="1" s="1"/>
  <c r="G1055" i="1"/>
  <c r="H1055" i="1"/>
  <c r="I1055" i="1"/>
  <c r="J1055" i="1"/>
  <c r="K1055" i="1" s="1"/>
  <c r="L1055" i="1"/>
  <c r="M1055" i="1"/>
  <c r="G1056" i="1"/>
  <c r="H1056" i="1"/>
  <c r="I1056" i="1"/>
  <c r="J1056" i="1"/>
  <c r="K1056" i="1" s="1"/>
  <c r="L1056" i="1"/>
  <c r="M1056" i="1" s="1"/>
  <c r="G1057" i="1"/>
  <c r="H1057" i="1"/>
  <c r="I1057" i="1"/>
  <c r="J1057" i="1"/>
  <c r="K1057" i="1" s="1"/>
  <c r="L1057" i="1"/>
  <c r="M1057" i="1" s="1"/>
  <c r="G1058" i="1"/>
  <c r="H1058" i="1"/>
  <c r="I1058" i="1"/>
  <c r="J1058" i="1"/>
  <c r="K1058" i="1" s="1"/>
  <c r="L1058" i="1"/>
  <c r="M1058" i="1" s="1"/>
  <c r="G1059" i="1"/>
  <c r="H1059" i="1"/>
  <c r="I1059" i="1"/>
  <c r="J1059" i="1"/>
  <c r="K1059" i="1"/>
  <c r="L1059" i="1"/>
  <c r="M1059" i="1" s="1"/>
  <c r="G1060" i="1"/>
  <c r="H1060" i="1"/>
  <c r="I1060" i="1"/>
  <c r="J1060" i="1"/>
  <c r="K1060" i="1" s="1"/>
  <c r="L1060" i="1"/>
  <c r="M1060" i="1" s="1"/>
  <c r="G1061" i="1"/>
  <c r="H1061" i="1"/>
  <c r="I1061" i="1"/>
  <c r="J1061" i="1"/>
  <c r="K1061" i="1" s="1"/>
  <c r="L1061" i="1"/>
  <c r="M1061" i="1"/>
  <c r="G1062" i="1"/>
  <c r="H1062" i="1"/>
  <c r="I1062" i="1"/>
  <c r="J1062" i="1"/>
  <c r="K1062" i="1" s="1"/>
  <c r="L1062" i="1"/>
  <c r="M1062" i="1" s="1"/>
  <c r="G1063" i="1"/>
  <c r="H1063" i="1"/>
  <c r="I1063" i="1"/>
  <c r="J1063" i="1"/>
  <c r="K1063" i="1" s="1"/>
  <c r="L1063" i="1"/>
  <c r="M1063" i="1" s="1"/>
  <c r="G1064" i="1"/>
  <c r="H1064" i="1"/>
  <c r="I1064" i="1"/>
  <c r="J1064" i="1"/>
  <c r="K1064" i="1" s="1"/>
  <c r="L1064" i="1"/>
  <c r="M1064" i="1" s="1"/>
  <c r="G1065" i="1"/>
  <c r="H1065" i="1"/>
  <c r="I1065" i="1"/>
  <c r="J1065" i="1"/>
  <c r="K1065" i="1" s="1"/>
  <c r="L1065" i="1"/>
  <c r="M1065" i="1" s="1"/>
  <c r="G1066" i="1"/>
  <c r="H1066" i="1"/>
  <c r="I1066" i="1"/>
  <c r="J1066" i="1"/>
  <c r="K1066" i="1" s="1"/>
  <c r="L1066" i="1"/>
  <c r="M1066" i="1" s="1"/>
  <c r="G1067" i="1"/>
  <c r="H1067" i="1"/>
  <c r="I1067" i="1"/>
  <c r="J1067" i="1"/>
  <c r="K1067" i="1" s="1"/>
  <c r="L1067" i="1"/>
  <c r="M1067" i="1" s="1"/>
  <c r="G1068" i="1"/>
  <c r="H1068" i="1"/>
  <c r="I1068" i="1"/>
  <c r="J1068" i="1"/>
  <c r="K1068" i="1" s="1"/>
  <c r="L1068" i="1"/>
  <c r="M1068" i="1" s="1"/>
  <c r="G1069" i="1"/>
  <c r="H1069" i="1"/>
  <c r="I1069" i="1"/>
  <c r="J1069" i="1"/>
  <c r="K1069" i="1" s="1"/>
  <c r="L1069" i="1"/>
  <c r="M1069" i="1" s="1"/>
  <c r="G1070" i="1"/>
  <c r="H1070" i="1"/>
  <c r="I1070" i="1"/>
  <c r="J1070" i="1"/>
  <c r="K1070" i="1" s="1"/>
  <c r="L1070" i="1"/>
  <c r="M1070" i="1" s="1"/>
  <c r="G1071" i="1"/>
  <c r="H1071" i="1"/>
  <c r="I1071" i="1"/>
  <c r="J1071" i="1"/>
  <c r="K1071" i="1" s="1"/>
  <c r="L1071" i="1"/>
  <c r="M1071" i="1" s="1"/>
  <c r="G1072" i="1"/>
  <c r="H1072" i="1"/>
  <c r="I1072" i="1"/>
  <c r="J1072" i="1"/>
  <c r="K1072" i="1" s="1"/>
  <c r="L1072" i="1"/>
  <c r="M1072" i="1" s="1"/>
  <c r="G1073" i="1"/>
  <c r="H1073" i="1"/>
  <c r="I1073" i="1"/>
  <c r="J1073" i="1"/>
  <c r="K1073" i="1" s="1"/>
  <c r="L1073" i="1"/>
  <c r="M1073" i="1" s="1"/>
  <c r="G1074" i="1"/>
  <c r="H1074" i="1"/>
  <c r="I1074" i="1"/>
  <c r="J1074" i="1"/>
  <c r="K1074" i="1" s="1"/>
  <c r="L1074" i="1"/>
  <c r="M1074" i="1" s="1"/>
  <c r="G1075" i="1"/>
  <c r="H1075" i="1"/>
  <c r="I1075" i="1"/>
  <c r="J1075" i="1"/>
  <c r="K1075" i="1" s="1"/>
  <c r="L1075" i="1"/>
  <c r="M1075" i="1" s="1"/>
  <c r="G1076" i="1"/>
  <c r="H1076" i="1"/>
  <c r="I1076" i="1"/>
  <c r="J1076" i="1"/>
  <c r="K1076" i="1" s="1"/>
  <c r="L1076" i="1"/>
  <c r="M1076" i="1" s="1"/>
  <c r="G1077" i="1"/>
  <c r="H1077" i="1"/>
  <c r="I1077" i="1"/>
  <c r="J1077" i="1"/>
  <c r="K1077" i="1" s="1"/>
  <c r="L1077" i="1"/>
  <c r="M1077" i="1" s="1"/>
  <c r="G1078" i="1"/>
  <c r="H1078" i="1"/>
  <c r="I1078" i="1"/>
  <c r="J1078" i="1"/>
  <c r="K1078" i="1" s="1"/>
  <c r="L1078" i="1"/>
  <c r="M1078" i="1" s="1"/>
  <c r="G1079" i="1"/>
  <c r="H1079" i="1"/>
  <c r="I1079" i="1"/>
  <c r="J1079" i="1"/>
  <c r="K1079" i="1" s="1"/>
  <c r="L1079" i="1"/>
  <c r="M1079" i="1" s="1"/>
  <c r="G1080" i="1"/>
  <c r="H1080" i="1"/>
  <c r="I1080" i="1"/>
  <c r="J1080" i="1"/>
  <c r="K1080" i="1" s="1"/>
  <c r="L1080" i="1"/>
  <c r="M1080" i="1" s="1"/>
  <c r="G1081" i="1"/>
  <c r="H1081" i="1"/>
  <c r="I1081" i="1"/>
  <c r="J1081" i="1"/>
  <c r="K1081" i="1" s="1"/>
  <c r="L1081" i="1"/>
  <c r="M1081" i="1" s="1"/>
  <c r="G1082" i="1"/>
  <c r="H1082" i="1"/>
  <c r="I1082" i="1"/>
  <c r="J1082" i="1"/>
  <c r="K1082" i="1" s="1"/>
  <c r="L1082" i="1"/>
  <c r="M1082" i="1" s="1"/>
  <c r="G1083" i="1"/>
  <c r="H1083" i="1"/>
  <c r="I1083" i="1"/>
  <c r="J1083" i="1"/>
  <c r="K1083" i="1" s="1"/>
  <c r="L1083" i="1"/>
  <c r="M1083" i="1" s="1"/>
  <c r="G1084" i="1"/>
  <c r="H1084" i="1"/>
  <c r="I1084" i="1"/>
  <c r="J1084" i="1"/>
  <c r="K1084" i="1" s="1"/>
  <c r="L1084" i="1"/>
  <c r="M1084" i="1" s="1"/>
  <c r="G1085" i="1"/>
  <c r="H1085" i="1"/>
  <c r="I1085" i="1"/>
  <c r="J1085" i="1"/>
  <c r="K1085" i="1" s="1"/>
  <c r="L1085" i="1"/>
  <c r="M1085" i="1" s="1"/>
  <c r="G1086" i="1"/>
  <c r="H1086" i="1"/>
  <c r="I1086" i="1"/>
  <c r="J1086" i="1"/>
  <c r="K1086" i="1" s="1"/>
  <c r="L1086" i="1"/>
  <c r="M1086" i="1" s="1"/>
  <c r="G1087" i="1"/>
  <c r="H1087" i="1"/>
  <c r="I1087" i="1"/>
  <c r="J1087" i="1"/>
  <c r="K1087" i="1" s="1"/>
  <c r="L1087" i="1"/>
  <c r="M1087" i="1" s="1"/>
  <c r="G1088" i="1"/>
  <c r="H1088" i="1"/>
  <c r="I1088" i="1"/>
  <c r="J1088" i="1"/>
  <c r="K1088" i="1" s="1"/>
  <c r="L1088" i="1"/>
  <c r="M1088" i="1" s="1"/>
  <c r="G1089" i="1"/>
  <c r="H1089" i="1"/>
  <c r="I1089" i="1"/>
  <c r="J1089" i="1"/>
  <c r="K1089" i="1" s="1"/>
  <c r="L1089" i="1"/>
  <c r="M1089" i="1" s="1"/>
  <c r="G1090" i="1"/>
  <c r="H1090" i="1"/>
  <c r="I1090" i="1"/>
  <c r="J1090" i="1"/>
  <c r="K1090" i="1" s="1"/>
  <c r="L1090" i="1"/>
  <c r="M1090" i="1" s="1"/>
  <c r="G1091" i="1"/>
  <c r="H1091" i="1"/>
  <c r="I1091" i="1"/>
  <c r="J1091" i="1"/>
  <c r="K1091" i="1" s="1"/>
  <c r="L1091" i="1"/>
  <c r="M1091" i="1" s="1"/>
  <c r="G1092" i="1"/>
  <c r="H1092" i="1"/>
  <c r="I1092" i="1"/>
  <c r="J1092" i="1"/>
  <c r="K1092" i="1" s="1"/>
  <c r="L1092" i="1"/>
  <c r="M1092" i="1" s="1"/>
  <c r="G1093" i="1"/>
  <c r="H1093" i="1"/>
  <c r="I1093" i="1"/>
  <c r="J1093" i="1"/>
  <c r="K1093" i="1" s="1"/>
  <c r="L1093" i="1"/>
  <c r="M1093" i="1" s="1"/>
  <c r="G1094" i="1"/>
  <c r="H1094" i="1"/>
  <c r="I1094" i="1"/>
  <c r="J1094" i="1"/>
  <c r="K1094" i="1" s="1"/>
  <c r="L1094" i="1"/>
  <c r="M1094" i="1" s="1"/>
  <c r="G1095" i="1"/>
  <c r="H1095" i="1"/>
  <c r="I1095" i="1"/>
  <c r="J1095" i="1"/>
  <c r="K1095" i="1" s="1"/>
  <c r="L1095" i="1"/>
  <c r="M1095" i="1" s="1"/>
  <c r="G1096" i="1"/>
  <c r="H1096" i="1"/>
  <c r="I1096" i="1"/>
  <c r="J1096" i="1"/>
  <c r="K1096" i="1" s="1"/>
  <c r="L1096" i="1"/>
  <c r="M1096" i="1" s="1"/>
  <c r="G1097" i="1"/>
  <c r="H1097" i="1"/>
  <c r="I1097" i="1"/>
  <c r="J1097" i="1"/>
  <c r="K1097" i="1" s="1"/>
  <c r="L1097" i="1"/>
  <c r="M1097" i="1" s="1"/>
  <c r="G1098" i="1"/>
  <c r="H1098" i="1"/>
  <c r="I1098" i="1"/>
  <c r="J1098" i="1"/>
  <c r="K1098" i="1" s="1"/>
  <c r="L1098" i="1"/>
  <c r="M1098" i="1" s="1"/>
  <c r="G1099" i="1"/>
  <c r="H1099" i="1"/>
  <c r="I1099" i="1"/>
  <c r="J1099" i="1"/>
  <c r="K1099" i="1" s="1"/>
  <c r="L1099" i="1"/>
  <c r="M1099" i="1" s="1"/>
  <c r="G1100" i="1"/>
  <c r="H1100" i="1"/>
  <c r="I1100" i="1"/>
  <c r="J1100" i="1"/>
  <c r="K1100" i="1" s="1"/>
  <c r="L1100" i="1"/>
  <c r="M1100" i="1" s="1"/>
  <c r="G1101" i="1"/>
  <c r="H1101" i="1"/>
  <c r="I1101" i="1"/>
  <c r="J1101" i="1"/>
  <c r="K1101" i="1" s="1"/>
  <c r="L1101" i="1"/>
  <c r="M1101" i="1" s="1"/>
  <c r="G1102" i="1"/>
  <c r="H1102" i="1"/>
  <c r="I1102" i="1"/>
  <c r="J1102" i="1"/>
  <c r="K1102" i="1" s="1"/>
  <c r="L1102" i="1"/>
  <c r="M1102" i="1" s="1"/>
  <c r="G1103" i="1"/>
  <c r="H1103" i="1"/>
  <c r="I1103" i="1"/>
  <c r="J1103" i="1"/>
  <c r="K1103" i="1" s="1"/>
  <c r="L1103" i="1"/>
  <c r="M1103" i="1" s="1"/>
  <c r="G1104" i="1"/>
  <c r="H1104" i="1"/>
  <c r="I1104" i="1"/>
  <c r="J1104" i="1"/>
  <c r="K1104" i="1" s="1"/>
  <c r="L1104" i="1"/>
  <c r="M1104" i="1" s="1"/>
  <c r="G1105" i="1"/>
  <c r="H1105" i="1"/>
  <c r="I1105" i="1"/>
  <c r="J1105" i="1"/>
  <c r="K1105" i="1" s="1"/>
  <c r="L1105" i="1"/>
  <c r="M1105" i="1" s="1"/>
  <c r="G1106" i="1"/>
  <c r="H1106" i="1"/>
  <c r="I1106" i="1"/>
  <c r="J1106" i="1"/>
  <c r="K1106" i="1" s="1"/>
  <c r="L1106" i="1"/>
  <c r="M1106" i="1" s="1"/>
  <c r="G1107" i="1"/>
  <c r="H1107" i="1"/>
  <c r="I1107" i="1"/>
  <c r="J1107" i="1"/>
  <c r="K1107" i="1" s="1"/>
  <c r="L1107" i="1"/>
  <c r="M1107" i="1" s="1"/>
  <c r="G1108" i="1"/>
  <c r="H1108" i="1"/>
  <c r="I1108" i="1"/>
  <c r="J1108" i="1"/>
  <c r="K1108" i="1" s="1"/>
  <c r="L1108" i="1"/>
  <c r="M1108" i="1" s="1"/>
  <c r="G1109" i="1"/>
  <c r="H1109" i="1"/>
  <c r="I1109" i="1"/>
  <c r="J1109" i="1"/>
  <c r="K1109" i="1" s="1"/>
  <c r="L1109" i="1"/>
  <c r="M1109" i="1" s="1"/>
  <c r="G1110" i="1"/>
  <c r="H1110" i="1"/>
  <c r="I1110" i="1"/>
  <c r="J1110" i="1"/>
  <c r="K1110" i="1" s="1"/>
  <c r="L1110" i="1"/>
  <c r="M1110" i="1" s="1"/>
  <c r="G1111" i="1"/>
  <c r="H1111" i="1"/>
  <c r="I1111" i="1"/>
  <c r="J1111" i="1"/>
  <c r="K1111" i="1" s="1"/>
  <c r="L1111" i="1"/>
  <c r="M1111" i="1" s="1"/>
  <c r="G1112" i="1"/>
  <c r="H1112" i="1"/>
  <c r="I1112" i="1"/>
  <c r="J1112" i="1"/>
  <c r="K1112" i="1" s="1"/>
  <c r="L1112" i="1"/>
  <c r="M1112" i="1" s="1"/>
  <c r="G1113" i="1"/>
  <c r="H1113" i="1"/>
  <c r="I1113" i="1"/>
  <c r="J1113" i="1"/>
  <c r="K1113" i="1" s="1"/>
  <c r="L1113" i="1"/>
  <c r="M1113" i="1" s="1"/>
  <c r="G1114" i="1"/>
  <c r="H1114" i="1"/>
  <c r="I1114" i="1"/>
  <c r="J1114" i="1"/>
  <c r="K1114" i="1" s="1"/>
  <c r="L1114" i="1"/>
  <c r="M1114" i="1" s="1"/>
  <c r="G1115" i="1"/>
  <c r="H1115" i="1"/>
  <c r="I1115" i="1"/>
  <c r="J1115" i="1"/>
  <c r="K1115" i="1" s="1"/>
  <c r="L1115" i="1"/>
  <c r="M1115" i="1" s="1"/>
  <c r="G1116" i="1"/>
  <c r="H1116" i="1"/>
  <c r="I1116" i="1"/>
  <c r="J1116" i="1"/>
  <c r="K1116" i="1" s="1"/>
  <c r="L1116" i="1"/>
  <c r="M1116" i="1" s="1"/>
  <c r="G1117" i="1"/>
  <c r="H1117" i="1"/>
  <c r="I1117" i="1"/>
  <c r="J1117" i="1"/>
  <c r="K1117" i="1" s="1"/>
  <c r="L1117" i="1"/>
  <c r="M1117" i="1" s="1"/>
  <c r="G1118" i="1"/>
  <c r="H1118" i="1"/>
  <c r="I1118" i="1"/>
  <c r="J1118" i="1"/>
  <c r="K1118" i="1" s="1"/>
  <c r="L1118" i="1"/>
  <c r="M1118" i="1" s="1"/>
  <c r="G1119" i="1"/>
  <c r="H1119" i="1"/>
  <c r="I1119" i="1"/>
  <c r="J1119" i="1"/>
  <c r="K1119" i="1" s="1"/>
  <c r="L1119" i="1"/>
  <c r="M1119" i="1" s="1"/>
  <c r="G1120" i="1"/>
  <c r="H1120" i="1"/>
  <c r="I1120" i="1"/>
  <c r="J1120" i="1"/>
  <c r="K1120" i="1" s="1"/>
  <c r="L1120" i="1"/>
  <c r="M1120" i="1" s="1"/>
  <c r="G1121" i="1"/>
  <c r="H1121" i="1"/>
  <c r="I1121" i="1"/>
  <c r="J1121" i="1"/>
  <c r="K1121" i="1" s="1"/>
  <c r="L1121" i="1"/>
  <c r="M1121" i="1" s="1"/>
  <c r="G1122" i="1"/>
  <c r="H1122" i="1"/>
  <c r="I1122" i="1"/>
  <c r="J1122" i="1"/>
  <c r="K1122" i="1" s="1"/>
  <c r="L1122" i="1"/>
  <c r="M1122" i="1" s="1"/>
  <c r="G1123" i="1"/>
  <c r="H1123" i="1"/>
  <c r="I1123" i="1"/>
  <c r="J1123" i="1"/>
  <c r="K1123" i="1" s="1"/>
  <c r="L1123" i="1"/>
  <c r="M1123" i="1" s="1"/>
  <c r="G1124" i="1"/>
  <c r="H1124" i="1"/>
  <c r="I1124" i="1"/>
  <c r="J1124" i="1"/>
  <c r="K1124" i="1" s="1"/>
  <c r="L1124" i="1"/>
  <c r="M1124" i="1" s="1"/>
  <c r="G1125" i="1"/>
  <c r="H1125" i="1"/>
  <c r="I1125" i="1"/>
  <c r="J1125" i="1"/>
  <c r="K1125" i="1" s="1"/>
  <c r="L1125" i="1"/>
  <c r="M1125" i="1" s="1"/>
  <c r="G1126" i="1"/>
  <c r="H1126" i="1"/>
  <c r="I1126" i="1"/>
  <c r="J1126" i="1"/>
  <c r="K1126" i="1" s="1"/>
  <c r="L1126" i="1"/>
  <c r="M1126" i="1" s="1"/>
  <c r="G1127" i="1"/>
  <c r="H1127" i="1"/>
  <c r="I1127" i="1"/>
  <c r="J1127" i="1"/>
  <c r="K1127" i="1" s="1"/>
  <c r="L1127" i="1"/>
  <c r="M1127" i="1" s="1"/>
  <c r="G1128" i="1"/>
  <c r="H1128" i="1"/>
  <c r="I1128" i="1"/>
  <c r="J1128" i="1"/>
  <c r="K1128" i="1" s="1"/>
  <c r="L1128" i="1"/>
  <c r="M1128" i="1" s="1"/>
  <c r="G1129" i="1"/>
  <c r="H1129" i="1"/>
  <c r="I1129" i="1"/>
  <c r="J1129" i="1"/>
  <c r="K1129" i="1" s="1"/>
  <c r="L1129" i="1"/>
  <c r="M1129" i="1" s="1"/>
  <c r="G1130" i="1"/>
  <c r="H1130" i="1"/>
  <c r="I1130" i="1"/>
  <c r="J1130" i="1"/>
  <c r="K1130" i="1" s="1"/>
  <c r="L1130" i="1"/>
  <c r="M1130" i="1" s="1"/>
  <c r="G1131" i="1"/>
  <c r="H1131" i="1"/>
  <c r="I1131" i="1"/>
  <c r="J1131" i="1"/>
  <c r="K1131" i="1" s="1"/>
  <c r="L1131" i="1"/>
  <c r="M1131" i="1" s="1"/>
  <c r="G1132" i="1"/>
  <c r="H1132" i="1"/>
  <c r="I1132" i="1"/>
  <c r="J1132" i="1"/>
  <c r="K1132" i="1" s="1"/>
  <c r="L1132" i="1"/>
  <c r="M1132" i="1" s="1"/>
  <c r="G1133" i="1"/>
  <c r="H1133" i="1"/>
  <c r="I1133" i="1"/>
  <c r="J1133" i="1"/>
  <c r="K1133" i="1" s="1"/>
  <c r="L1133" i="1"/>
  <c r="M1133" i="1" s="1"/>
  <c r="G1134" i="1"/>
  <c r="H1134" i="1"/>
  <c r="I1134" i="1"/>
  <c r="J1134" i="1"/>
  <c r="K1134" i="1" s="1"/>
  <c r="L1134" i="1"/>
  <c r="M1134" i="1" s="1"/>
  <c r="G1135" i="1"/>
  <c r="H1135" i="1"/>
  <c r="I1135" i="1"/>
  <c r="J1135" i="1"/>
  <c r="K1135" i="1" s="1"/>
  <c r="L1135" i="1"/>
  <c r="M1135" i="1" s="1"/>
  <c r="G1136" i="1"/>
  <c r="H1136" i="1"/>
  <c r="I1136" i="1"/>
  <c r="J1136" i="1"/>
  <c r="K1136" i="1" s="1"/>
  <c r="L1136" i="1"/>
  <c r="M1136" i="1" s="1"/>
  <c r="G1137" i="1"/>
  <c r="H1137" i="1"/>
  <c r="I1137" i="1"/>
  <c r="J1137" i="1"/>
  <c r="K1137" i="1" s="1"/>
  <c r="L1137" i="1"/>
  <c r="M1137" i="1" s="1"/>
  <c r="G1138" i="1"/>
  <c r="H1138" i="1"/>
  <c r="I1138" i="1"/>
  <c r="J1138" i="1"/>
  <c r="K1138" i="1" s="1"/>
  <c r="L1138" i="1"/>
  <c r="M1138" i="1" s="1"/>
  <c r="G1139" i="1"/>
  <c r="H1139" i="1"/>
  <c r="I1139" i="1"/>
  <c r="J1139" i="1"/>
  <c r="K1139" i="1" s="1"/>
  <c r="L1139" i="1"/>
  <c r="M1139" i="1" s="1"/>
  <c r="G1140" i="1"/>
  <c r="H1140" i="1"/>
  <c r="I1140" i="1"/>
  <c r="J1140" i="1"/>
  <c r="K1140" i="1" s="1"/>
  <c r="L1140" i="1"/>
  <c r="M1140" i="1" s="1"/>
  <c r="G1141" i="1"/>
  <c r="H1141" i="1"/>
  <c r="I1141" i="1"/>
  <c r="J1141" i="1"/>
  <c r="K1141" i="1" s="1"/>
  <c r="L1141" i="1"/>
  <c r="M1141" i="1" s="1"/>
  <c r="G1142" i="1"/>
  <c r="H1142" i="1"/>
  <c r="I1142" i="1"/>
  <c r="J1142" i="1"/>
  <c r="K1142" i="1" s="1"/>
  <c r="L1142" i="1"/>
  <c r="M1142" i="1" s="1"/>
  <c r="G1143" i="1"/>
  <c r="H1143" i="1"/>
  <c r="I1143" i="1"/>
  <c r="J1143" i="1"/>
  <c r="K1143" i="1" s="1"/>
  <c r="L1143" i="1"/>
  <c r="M1143" i="1" s="1"/>
  <c r="G1144" i="1"/>
  <c r="H1144" i="1"/>
  <c r="I1144" i="1"/>
  <c r="J1144" i="1"/>
  <c r="K1144" i="1" s="1"/>
  <c r="L1144" i="1"/>
  <c r="M1144" i="1" s="1"/>
  <c r="G1145" i="1"/>
  <c r="H1145" i="1"/>
  <c r="I1145" i="1"/>
  <c r="J1145" i="1"/>
  <c r="K1145" i="1" s="1"/>
  <c r="L1145" i="1"/>
  <c r="M1145" i="1" s="1"/>
  <c r="G1146" i="1"/>
  <c r="H1146" i="1"/>
  <c r="I1146" i="1"/>
  <c r="J1146" i="1"/>
  <c r="K1146" i="1" s="1"/>
  <c r="L1146" i="1"/>
  <c r="M1146" i="1" s="1"/>
  <c r="G1147" i="1"/>
  <c r="H1147" i="1"/>
  <c r="I1147" i="1"/>
  <c r="J1147" i="1"/>
  <c r="K1147" i="1" s="1"/>
  <c r="L1147" i="1"/>
  <c r="M1147" i="1" s="1"/>
  <c r="G1148" i="1"/>
  <c r="H1148" i="1"/>
  <c r="I1148" i="1"/>
  <c r="J1148" i="1"/>
  <c r="K1148" i="1" s="1"/>
  <c r="L1148" i="1"/>
  <c r="M1148" i="1" s="1"/>
  <c r="G1149" i="1"/>
  <c r="H1149" i="1"/>
  <c r="I1149" i="1"/>
  <c r="J1149" i="1"/>
  <c r="K1149" i="1" s="1"/>
  <c r="L1149" i="1"/>
  <c r="M1149" i="1" s="1"/>
  <c r="G1150" i="1"/>
  <c r="H1150" i="1"/>
  <c r="I1150" i="1"/>
  <c r="J1150" i="1"/>
  <c r="K1150" i="1" s="1"/>
  <c r="L1150" i="1"/>
  <c r="M1150" i="1" s="1"/>
  <c r="G1151" i="1"/>
  <c r="H1151" i="1"/>
  <c r="I1151" i="1"/>
  <c r="J1151" i="1"/>
  <c r="K1151" i="1" s="1"/>
  <c r="L1151" i="1"/>
  <c r="M1151" i="1" s="1"/>
  <c r="G1152" i="1"/>
  <c r="H1152" i="1"/>
  <c r="I1152" i="1"/>
  <c r="J1152" i="1"/>
  <c r="K1152" i="1" s="1"/>
  <c r="L1152" i="1"/>
  <c r="M1152" i="1" s="1"/>
  <c r="G1153" i="1"/>
  <c r="H1153" i="1"/>
  <c r="I1153" i="1"/>
  <c r="J1153" i="1"/>
  <c r="K1153" i="1" s="1"/>
  <c r="L1153" i="1"/>
  <c r="M1153" i="1" s="1"/>
  <c r="G1154" i="1"/>
  <c r="H1154" i="1"/>
  <c r="I1154" i="1"/>
  <c r="J1154" i="1"/>
  <c r="K1154" i="1" s="1"/>
  <c r="L1154" i="1"/>
  <c r="M1154" i="1" s="1"/>
  <c r="G1155" i="1"/>
  <c r="H1155" i="1"/>
  <c r="I1155" i="1"/>
  <c r="J1155" i="1"/>
  <c r="K1155" i="1" s="1"/>
  <c r="L1155" i="1"/>
  <c r="M1155" i="1" s="1"/>
  <c r="G1156" i="1"/>
  <c r="H1156" i="1"/>
  <c r="I1156" i="1"/>
  <c r="J1156" i="1"/>
  <c r="K1156" i="1" s="1"/>
  <c r="L1156" i="1"/>
  <c r="M1156" i="1" s="1"/>
  <c r="G1157" i="1"/>
  <c r="H1157" i="1"/>
  <c r="I1157" i="1"/>
  <c r="J1157" i="1"/>
  <c r="K1157" i="1" s="1"/>
  <c r="L1157" i="1"/>
  <c r="M1157" i="1" s="1"/>
  <c r="G1158" i="1"/>
  <c r="H1158" i="1"/>
  <c r="I1158" i="1"/>
  <c r="J1158" i="1"/>
  <c r="K1158" i="1" s="1"/>
  <c r="L1158" i="1"/>
  <c r="M1158" i="1" s="1"/>
  <c r="G1159" i="1"/>
  <c r="H1159" i="1"/>
  <c r="I1159" i="1"/>
  <c r="J1159" i="1"/>
  <c r="K1159" i="1" s="1"/>
  <c r="L1159" i="1"/>
  <c r="M1159" i="1" s="1"/>
  <c r="G1160" i="1"/>
  <c r="H1160" i="1"/>
  <c r="I1160" i="1"/>
  <c r="J1160" i="1"/>
  <c r="K1160" i="1" s="1"/>
  <c r="L1160" i="1"/>
  <c r="M1160" i="1" s="1"/>
  <c r="G1161" i="1"/>
  <c r="H1161" i="1"/>
  <c r="I1161" i="1"/>
  <c r="J1161" i="1"/>
  <c r="K1161" i="1" s="1"/>
  <c r="L1161" i="1"/>
  <c r="M1161" i="1" s="1"/>
  <c r="G1162" i="1"/>
  <c r="H1162" i="1"/>
  <c r="I1162" i="1"/>
  <c r="J1162" i="1"/>
  <c r="K1162" i="1" s="1"/>
  <c r="L1162" i="1"/>
  <c r="M1162" i="1" s="1"/>
  <c r="G1163" i="1"/>
  <c r="H1163" i="1"/>
  <c r="I1163" i="1"/>
  <c r="J1163" i="1"/>
  <c r="K1163" i="1" s="1"/>
  <c r="L1163" i="1"/>
  <c r="M1163" i="1" s="1"/>
  <c r="G1164" i="1"/>
  <c r="H1164" i="1"/>
  <c r="I1164" i="1"/>
  <c r="J1164" i="1"/>
  <c r="K1164" i="1" s="1"/>
  <c r="L1164" i="1"/>
  <c r="M1164" i="1" s="1"/>
  <c r="G1165" i="1"/>
  <c r="H1165" i="1"/>
  <c r="I1165" i="1"/>
  <c r="J1165" i="1"/>
  <c r="K1165" i="1" s="1"/>
  <c r="L1165" i="1"/>
  <c r="M1165" i="1" s="1"/>
  <c r="G1166" i="1"/>
  <c r="H1166" i="1"/>
  <c r="I1166" i="1"/>
  <c r="J1166" i="1"/>
  <c r="K1166" i="1" s="1"/>
  <c r="L1166" i="1"/>
  <c r="M1166" i="1" s="1"/>
  <c r="G1167" i="1"/>
  <c r="H1167" i="1"/>
  <c r="I1167" i="1"/>
  <c r="J1167" i="1"/>
  <c r="K1167" i="1"/>
  <c r="L1167" i="1"/>
  <c r="M1167" i="1" s="1"/>
  <c r="G1168" i="1"/>
  <c r="H1168" i="1"/>
  <c r="I1168" i="1"/>
  <c r="J1168" i="1"/>
  <c r="K1168" i="1" s="1"/>
  <c r="L1168" i="1"/>
  <c r="M1168" i="1" s="1"/>
  <c r="G1169" i="1"/>
  <c r="H1169" i="1"/>
  <c r="I1169" i="1"/>
  <c r="J1169" i="1"/>
  <c r="K1169" i="1" s="1"/>
  <c r="L1169" i="1"/>
  <c r="M1169" i="1"/>
  <c r="G1170" i="1"/>
  <c r="H1170" i="1"/>
  <c r="I1170" i="1"/>
  <c r="J1170" i="1"/>
  <c r="K1170" i="1" s="1"/>
  <c r="L1170" i="1"/>
  <c r="M1170" i="1" s="1"/>
  <c r="G1171" i="1"/>
  <c r="H1171" i="1"/>
  <c r="I1171" i="1"/>
  <c r="J1171" i="1"/>
  <c r="K1171" i="1" s="1"/>
  <c r="L1171" i="1"/>
  <c r="M1171" i="1" s="1"/>
  <c r="G1172" i="1"/>
  <c r="H1172" i="1"/>
  <c r="I1172" i="1"/>
  <c r="J1172" i="1"/>
  <c r="K1172" i="1" s="1"/>
  <c r="L1172" i="1"/>
  <c r="M1172" i="1" s="1"/>
  <c r="G1173" i="1"/>
  <c r="H1173" i="1"/>
  <c r="I1173" i="1"/>
  <c r="J1173" i="1"/>
  <c r="K1173" i="1" s="1"/>
  <c r="L1173" i="1"/>
  <c r="M1173" i="1" s="1"/>
  <c r="G1174" i="1"/>
  <c r="H1174" i="1"/>
  <c r="I1174" i="1"/>
  <c r="J1174" i="1"/>
  <c r="K1174" i="1" s="1"/>
  <c r="L1174" i="1"/>
  <c r="M1174" i="1" s="1"/>
  <c r="G1175" i="1"/>
  <c r="H1175" i="1"/>
  <c r="I1175" i="1"/>
  <c r="J1175" i="1"/>
  <c r="K1175" i="1" s="1"/>
  <c r="L1175" i="1"/>
  <c r="M1175" i="1" s="1"/>
  <c r="G1176" i="1"/>
  <c r="H1176" i="1"/>
  <c r="I1176" i="1"/>
  <c r="J1176" i="1"/>
  <c r="K1176" i="1" s="1"/>
  <c r="L1176" i="1"/>
  <c r="M1176" i="1" s="1"/>
  <c r="G1177" i="1"/>
  <c r="H1177" i="1"/>
  <c r="I1177" i="1"/>
  <c r="J1177" i="1"/>
  <c r="K1177" i="1" s="1"/>
  <c r="L1177" i="1"/>
  <c r="M1177" i="1" s="1"/>
  <c r="G1178" i="1"/>
  <c r="H1178" i="1"/>
  <c r="I1178" i="1"/>
  <c r="J1178" i="1"/>
  <c r="K1178" i="1" s="1"/>
  <c r="L1178" i="1"/>
  <c r="M1178" i="1" s="1"/>
  <c r="G1179" i="1"/>
  <c r="H1179" i="1"/>
  <c r="I1179" i="1"/>
  <c r="J1179" i="1"/>
  <c r="K1179" i="1" s="1"/>
  <c r="L1179" i="1"/>
  <c r="M1179" i="1" s="1"/>
  <c r="G1180" i="1"/>
  <c r="H1180" i="1"/>
  <c r="I1180" i="1"/>
  <c r="J1180" i="1"/>
  <c r="K1180" i="1" s="1"/>
  <c r="L1180" i="1"/>
  <c r="M1180" i="1" s="1"/>
  <c r="G1181" i="1"/>
  <c r="H1181" i="1"/>
  <c r="I1181" i="1"/>
  <c r="J1181" i="1"/>
  <c r="K1181" i="1" s="1"/>
  <c r="L1181" i="1"/>
  <c r="M1181" i="1" s="1"/>
  <c r="G1182" i="1"/>
  <c r="H1182" i="1"/>
  <c r="I1182" i="1"/>
  <c r="J1182" i="1"/>
  <c r="K1182" i="1" s="1"/>
  <c r="L1182" i="1"/>
  <c r="M1182" i="1" s="1"/>
  <c r="G1183" i="1"/>
  <c r="H1183" i="1"/>
  <c r="I1183" i="1"/>
  <c r="J1183" i="1"/>
  <c r="K1183" i="1" s="1"/>
  <c r="L1183" i="1"/>
  <c r="M1183" i="1" s="1"/>
  <c r="G1184" i="1"/>
  <c r="H1184" i="1"/>
  <c r="I1184" i="1"/>
  <c r="J1184" i="1"/>
  <c r="K1184" i="1" s="1"/>
  <c r="L1184" i="1"/>
  <c r="M1184" i="1" s="1"/>
  <c r="G1185" i="1"/>
  <c r="H1185" i="1"/>
  <c r="I1185" i="1"/>
  <c r="J1185" i="1"/>
  <c r="K1185" i="1"/>
  <c r="L1185" i="1"/>
  <c r="M1185" i="1" s="1"/>
  <c r="G1186" i="1"/>
  <c r="H1186" i="1"/>
  <c r="I1186" i="1"/>
  <c r="J1186" i="1"/>
  <c r="K1186" i="1" s="1"/>
  <c r="L1186" i="1"/>
  <c r="M1186" i="1" s="1"/>
  <c r="G1187" i="1"/>
  <c r="H1187" i="1"/>
  <c r="I1187" i="1"/>
  <c r="J1187" i="1"/>
  <c r="K1187" i="1" s="1"/>
  <c r="L1187" i="1"/>
  <c r="M1187" i="1"/>
  <c r="G1188" i="1"/>
  <c r="H1188" i="1"/>
  <c r="I1188" i="1"/>
  <c r="J1188" i="1"/>
  <c r="K1188" i="1" s="1"/>
  <c r="L1188" i="1"/>
  <c r="M1188" i="1" s="1"/>
  <c r="G1189" i="1"/>
  <c r="H1189" i="1"/>
  <c r="I1189" i="1"/>
  <c r="J1189" i="1"/>
  <c r="K1189" i="1" s="1"/>
  <c r="L1189" i="1"/>
  <c r="M1189" i="1" s="1"/>
  <c r="G1190" i="1"/>
  <c r="H1190" i="1"/>
  <c r="I1190" i="1"/>
  <c r="J1190" i="1"/>
  <c r="K1190" i="1" s="1"/>
  <c r="L1190" i="1"/>
  <c r="M1190" i="1" s="1"/>
  <c r="G1191" i="1"/>
  <c r="H1191" i="1"/>
  <c r="I1191" i="1"/>
  <c r="J1191" i="1"/>
  <c r="K1191" i="1" s="1"/>
  <c r="L1191" i="1"/>
  <c r="M1191" i="1" s="1"/>
  <c r="G1192" i="1"/>
  <c r="H1192" i="1"/>
  <c r="I1192" i="1"/>
  <c r="J1192" i="1"/>
  <c r="K1192" i="1" s="1"/>
  <c r="L1192" i="1"/>
  <c r="M1192" i="1" s="1"/>
  <c r="G1193" i="1"/>
  <c r="H1193" i="1"/>
  <c r="I1193" i="1"/>
  <c r="J1193" i="1"/>
  <c r="K1193" i="1" s="1"/>
  <c r="L1193" i="1"/>
  <c r="M1193" i="1" s="1"/>
  <c r="G1194" i="1"/>
  <c r="H1194" i="1"/>
  <c r="I1194" i="1"/>
  <c r="J1194" i="1"/>
  <c r="K1194" i="1" s="1"/>
  <c r="L1194" i="1"/>
  <c r="M1194" i="1" s="1"/>
  <c r="G1195" i="1"/>
  <c r="H1195" i="1"/>
  <c r="I1195" i="1"/>
  <c r="J1195" i="1"/>
  <c r="K1195" i="1" s="1"/>
  <c r="L1195" i="1"/>
  <c r="M1195" i="1" s="1"/>
  <c r="G1196" i="1"/>
  <c r="H1196" i="1"/>
  <c r="I1196" i="1"/>
  <c r="J1196" i="1"/>
  <c r="K1196" i="1" s="1"/>
  <c r="L1196" i="1"/>
  <c r="M1196" i="1" s="1"/>
  <c r="G1197" i="1"/>
  <c r="H1197" i="1"/>
  <c r="I1197" i="1"/>
  <c r="J1197" i="1"/>
  <c r="K1197" i="1" s="1"/>
  <c r="L1197" i="1"/>
  <c r="M1197" i="1" s="1"/>
  <c r="G1198" i="1"/>
  <c r="H1198" i="1"/>
  <c r="I1198" i="1"/>
  <c r="J1198" i="1"/>
  <c r="K1198" i="1" s="1"/>
  <c r="L1198" i="1"/>
  <c r="M1198" i="1" s="1"/>
  <c r="G1199" i="1"/>
  <c r="H1199" i="1"/>
  <c r="I1199" i="1"/>
  <c r="J1199" i="1"/>
  <c r="K1199" i="1" s="1"/>
  <c r="L1199" i="1"/>
  <c r="M1199" i="1" s="1"/>
  <c r="G1200" i="1"/>
  <c r="H1200" i="1"/>
  <c r="I1200" i="1"/>
  <c r="J1200" i="1"/>
  <c r="K1200" i="1" s="1"/>
  <c r="L1200" i="1"/>
  <c r="M1200" i="1" s="1"/>
  <c r="G1201" i="1"/>
  <c r="H1201" i="1"/>
  <c r="I1201" i="1"/>
  <c r="J1201" i="1"/>
  <c r="K1201" i="1" s="1"/>
  <c r="L1201" i="1"/>
  <c r="M1201" i="1" s="1"/>
  <c r="G1202" i="1"/>
  <c r="H1202" i="1"/>
  <c r="I1202" i="1"/>
  <c r="J1202" i="1"/>
  <c r="K1202" i="1" s="1"/>
  <c r="L1202" i="1"/>
  <c r="M1202" i="1" s="1"/>
  <c r="G1203" i="1"/>
  <c r="H1203" i="1"/>
  <c r="I1203" i="1"/>
  <c r="J1203" i="1"/>
  <c r="K1203" i="1" s="1"/>
  <c r="L1203" i="1"/>
  <c r="M1203" i="1" s="1"/>
  <c r="G1204" i="1"/>
  <c r="H1204" i="1"/>
  <c r="I1204" i="1"/>
  <c r="J1204" i="1"/>
  <c r="K1204" i="1" s="1"/>
  <c r="L1204" i="1"/>
  <c r="M1204" i="1" s="1"/>
  <c r="G1205" i="1"/>
  <c r="H1205" i="1"/>
  <c r="I1205" i="1"/>
  <c r="J1205" i="1"/>
  <c r="K1205" i="1" s="1"/>
  <c r="L1205" i="1"/>
  <c r="M1205" i="1" s="1"/>
  <c r="G1206" i="1"/>
  <c r="H1206" i="1"/>
  <c r="I1206" i="1"/>
  <c r="J1206" i="1"/>
  <c r="K1206" i="1" s="1"/>
  <c r="L1206" i="1"/>
  <c r="M1206" i="1" s="1"/>
  <c r="G1207" i="1"/>
  <c r="H1207" i="1"/>
  <c r="I1207" i="1"/>
  <c r="J1207" i="1"/>
  <c r="K1207" i="1" s="1"/>
  <c r="L1207" i="1"/>
  <c r="M1207" i="1" s="1"/>
  <c r="G1208" i="1"/>
  <c r="H1208" i="1"/>
  <c r="I1208" i="1"/>
  <c r="J1208" i="1"/>
  <c r="K1208" i="1" s="1"/>
  <c r="L1208" i="1"/>
  <c r="M1208" i="1" s="1"/>
  <c r="G1209" i="1"/>
  <c r="H1209" i="1"/>
  <c r="I1209" i="1"/>
  <c r="J1209" i="1"/>
  <c r="K1209" i="1" s="1"/>
  <c r="L1209" i="1"/>
  <c r="M1209" i="1" s="1"/>
  <c r="G1210" i="1"/>
  <c r="H1210" i="1"/>
  <c r="I1210" i="1"/>
  <c r="J1210" i="1"/>
  <c r="K1210" i="1" s="1"/>
  <c r="L1210" i="1"/>
  <c r="M1210" i="1" s="1"/>
  <c r="G1211" i="1"/>
  <c r="H1211" i="1"/>
  <c r="I1211" i="1"/>
  <c r="J1211" i="1"/>
  <c r="K1211" i="1" s="1"/>
  <c r="L1211" i="1"/>
  <c r="M1211" i="1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2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5" i="1"/>
  <c r="J4" i="1"/>
  <c r="J3" i="1"/>
  <c r="J2" i="1"/>
  <c r="J6" i="1"/>
  <c r="K552" i="1" l="1"/>
  <c r="M552" i="1"/>
  <c r="K553" i="1"/>
  <c r="M553" i="1"/>
  <c r="K554" i="1"/>
  <c r="M554" i="1"/>
  <c r="K555" i="1"/>
  <c r="M555" i="1"/>
  <c r="K556" i="1"/>
  <c r="M556" i="1"/>
  <c r="K557" i="1"/>
  <c r="M557" i="1"/>
  <c r="K558" i="1"/>
  <c r="M558" i="1"/>
  <c r="K559" i="1"/>
  <c r="M559" i="1"/>
  <c r="K560" i="1"/>
  <c r="M560" i="1"/>
  <c r="K561" i="1"/>
  <c r="M561" i="1"/>
  <c r="K562" i="1"/>
  <c r="M562" i="1"/>
  <c r="K563" i="1"/>
  <c r="M563" i="1"/>
  <c r="K564" i="1"/>
  <c r="M564" i="1"/>
  <c r="K565" i="1"/>
  <c r="M565" i="1"/>
  <c r="K566" i="1"/>
  <c r="M566" i="1"/>
  <c r="K567" i="1"/>
  <c r="M567" i="1"/>
  <c r="K568" i="1"/>
  <c r="M568" i="1"/>
  <c r="K569" i="1"/>
  <c r="M569" i="1"/>
  <c r="K570" i="1"/>
  <c r="M570" i="1"/>
  <c r="K571" i="1"/>
  <c r="M571" i="1"/>
  <c r="K572" i="1"/>
  <c r="M572" i="1"/>
  <c r="K573" i="1"/>
  <c r="M573" i="1"/>
  <c r="K574" i="1"/>
  <c r="M574" i="1"/>
  <c r="K575" i="1"/>
  <c r="M575" i="1"/>
  <c r="K576" i="1"/>
  <c r="M576" i="1"/>
  <c r="K577" i="1"/>
  <c r="M577" i="1"/>
  <c r="K578" i="1"/>
  <c r="M578" i="1"/>
  <c r="K579" i="1"/>
  <c r="M579" i="1"/>
  <c r="K580" i="1"/>
  <c r="M580" i="1"/>
  <c r="K581" i="1"/>
  <c r="M581" i="1"/>
  <c r="K582" i="1"/>
  <c r="M582" i="1"/>
  <c r="K583" i="1"/>
  <c r="M583" i="1"/>
  <c r="K584" i="1"/>
  <c r="M584" i="1"/>
  <c r="K585" i="1"/>
  <c r="M585" i="1"/>
  <c r="K586" i="1"/>
  <c r="M586" i="1"/>
  <c r="K587" i="1"/>
  <c r="M587" i="1"/>
  <c r="K588" i="1"/>
  <c r="M588" i="1"/>
  <c r="K589" i="1"/>
  <c r="M589" i="1"/>
  <c r="K590" i="1"/>
  <c r="M590" i="1"/>
  <c r="K591" i="1"/>
  <c r="M591" i="1"/>
  <c r="K592" i="1"/>
  <c r="M592" i="1"/>
  <c r="K593" i="1"/>
  <c r="M593" i="1"/>
  <c r="K594" i="1"/>
  <c r="M594" i="1"/>
  <c r="K595" i="1"/>
  <c r="M595" i="1"/>
  <c r="K596" i="1"/>
  <c r="M596" i="1"/>
  <c r="K597" i="1"/>
  <c r="M597" i="1"/>
  <c r="K598" i="1"/>
  <c r="M598" i="1"/>
  <c r="K599" i="1"/>
  <c r="M599" i="1"/>
  <c r="K600" i="1"/>
  <c r="M600" i="1"/>
  <c r="K601" i="1"/>
  <c r="M601" i="1"/>
  <c r="K602" i="1"/>
  <c r="M602" i="1"/>
  <c r="K603" i="1"/>
  <c r="M603" i="1"/>
  <c r="K604" i="1"/>
  <c r="M604" i="1"/>
  <c r="K605" i="1"/>
  <c r="M605" i="1"/>
  <c r="K606" i="1"/>
  <c r="M606" i="1"/>
  <c r="K607" i="1"/>
  <c r="M607" i="1"/>
  <c r="K608" i="1"/>
  <c r="M608" i="1"/>
  <c r="K609" i="1"/>
  <c r="M609" i="1"/>
  <c r="K610" i="1"/>
  <c r="M610" i="1"/>
  <c r="K611" i="1"/>
  <c r="M611" i="1"/>
  <c r="K612" i="1"/>
  <c r="M612" i="1"/>
  <c r="K613" i="1"/>
  <c r="M613" i="1"/>
  <c r="K614" i="1"/>
  <c r="M614" i="1"/>
  <c r="K615" i="1"/>
  <c r="M615" i="1"/>
  <c r="K616" i="1"/>
  <c r="M616" i="1"/>
  <c r="K617" i="1"/>
  <c r="M617" i="1"/>
  <c r="K618" i="1"/>
  <c r="M618" i="1"/>
  <c r="K619" i="1"/>
  <c r="M619" i="1"/>
  <c r="K620" i="1"/>
  <c r="M620" i="1"/>
  <c r="K621" i="1"/>
  <c r="M621" i="1"/>
  <c r="K622" i="1"/>
  <c r="M622" i="1"/>
  <c r="K623" i="1"/>
  <c r="M623" i="1"/>
  <c r="K624" i="1"/>
  <c r="M624" i="1"/>
  <c r="K625" i="1"/>
  <c r="M625" i="1"/>
  <c r="K626" i="1"/>
  <c r="M626" i="1"/>
  <c r="K627" i="1"/>
  <c r="M627" i="1"/>
  <c r="K628" i="1"/>
  <c r="M628" i="1"/>
  <c r="K629" i="1"/>
  <c r="M629" i="1"/>
  <c r="K630" i="1"/>
  <c r="M630" i="1"/>
  <c r="K631" i="1"/>
  <c r="M631" i="1"/>
  <c r="K632" i="1"/>
  <c r="M632" i="1"/>
  <c r="K633" i="1"/>
  <c r="M633" i="1"/>
  <c r="K634" i="1"/>
  <c r="M634" i="1"/>
  <c r="K635" i="1"/>
  <c r="M635" i="1"/>
  <c r="K636" i="1"/>
  <c r="M636" i="1"/>
  <c r="K637" i="1"/>
  <c r="M637" i="1"/>
  <c r="K638" i="1"/>
  <c r="M638" i="1"/>
  <c r="K639" i="1"/>
  <c r="M639" i="1"/>
  <c r="K640" i="1"/>
  <c r="M640" i="1"/>
  <c r="K641" i="1"/>
  <c r="M641" i="1"/>
  <c r="K642" i="1"/>
  <c r="M642" i="1"/>
  <c r="K643" i="1"/>
  <c r="M643" i="1"/>
  <c r="K644" i="1"/>
  <c r="M644" i="1"/>
  <c r="K645" i="1"/>
  <c r="M645" i="1"/>
  <c r="K646" i="1"/>
  <c r="M646" i="1"/>
  <c r="K647" i="1"/>
  <c r="M647" i="1"/>
  <c r="K648" i="1"/>
  <c r="M648" i="1"/>
  <c r="K649" i="1"/>
  <c r="M649" i="1"/>
  <c r="K650" i="1"/>
  <c r="M650" i="1"/>
  <c r="K651" i="1"/>
  <c r="M651" i="1"/>
  <c r="K652" i="1"/>
  <c r="M652" i="1"/>
  <c r="K653" i="1"/>
  <c r="M653" i="1"/>
  <c r="K654" i="1"/>
  <c r="M654" i="1"/>
  <c r="K655" i="1"/>
  <c r="M655" i="1"/>
  <c r="K656" i="1"/>
  <c r="M656" i="1"/>
  <c r="K657" i="1"/>
  <c r="M657" i="1"/>
  <c r="K658" i="1"/>
  <c r="M658" i="1"/>
  <c r="K659" i="1"/>
  <c r="M659" i="1"/>
  <c r="K660" i="1"/>
  <c r="M660" i="1"/>
  <c r="K661" i="1"/>
  <c r="M661" i="1"/>
  <c r="K662" i="1"/>
  <c r="M662" i="1"/>
  <c r="K663" i="1"/>
  <c r="M663" i="1"/>
  <c r="K664" i="1"/>
  <c r="M664" i="1"/>
  <c r="K665" i="1"/>
  <c r="M665" i="1"/>
  <c r="K666" i="1"/>
  <c r="M666" i="1"/>
  <c r="K667" i="1"/>
  <c r="M667" i="1"/>
  <c r="K668" i="1"/>
  <c r="M668" i="1"/>
  <c r="K669" i="1"/>
  <c r="M669" i="1"/>
  <c r="K670" i="1"/>
  <c r="M670" i="1"/>
  <c r="K671" i="1"/>
  <c r="M671" i="1"/>
  <c r="K672" i="1"/>
  <c r="M672" i="1"/>
  <c r="K673" i="1"/>
  <c r="M673" i="1"/>
  <c r="K674" i="1"/>
  <c r="M674" i="1"/>
  <c r="K675" i="1"/>
  <c r="M675" i="1"/>
  <c r="K676" i="1"/>
  <c r="M676" i="1"/>
  <c r="K677" i="1"/>
  <c r="M677" i="1"/>
  <c r="K678" i="1"/>
  <c r="M678" i="1"/>
  <c r="K679" i="1"/>
  <c r="M679" i="1"/>
  <c r="K680" i="1"/>
  <c r="M680" i="1"/>
  <c r="K681" i="1"/>
  <c r="M681" i="1"/>
  <c r="K682" i="1"/>
  <c r="M682" i="1"/>
  <c r="K683" i="1"/>
  <c r="M683" i="1"/>
  <c r="K684" i="1"/>
  <c r="M684" i="1"/>
  <c r="K685" i="1"/>
  <c r="M685" i="1"/>
  <c r="K686" i="1"/>
  <c r="M686" i="1"/>
  <c r="K687" i="1"/>
  <c r="M687" i="1"/>
  <c r="K688" i="1"/>
  <c r="M688" i="1"/>
  <c r="K689" i="1"/>
  <c r="M689" i="1"/>
  <c r="K690" i="1"/>
  <c r="M690" i="1"/>
  <c r="K691" i="1"/>
  <c r="M691" i="1"/>
  <c r="K692" i="1"/>
  <c r="M692" i="1"/>
  <c r="K693" i="1"/>
  <c r="M693" i="1"/>
  <c r="K694" i="1"/>
  <c r="M694" i="1"/>
  <c r="K695" i="1"/>
  <c r="M695" i="1"/>
  <c r="K696" i="1"/>
  <c r="M696" i="1"/>
  <c r="K697" i="1"/>
  <c r="M697" i="1"/>
  <c r="K698" i="1"/>
  <c r="M698" i="1"/>
  <c r="K699" i="1"/>
  <c r="M699" i="1"/>
  <c r="K700" i="1"/>
  <c r="M700" i="1"/>
  <c r="K701" i="1"/>
  <c r="M701" i="1"/>
  <c r="K702" i="1"/>
  <c r="M702" i="1"/>
  <c r="K703" i="1"/>
  <c r="M703" i="1"/>
  <c r="K704" i="1"/>
  <c r="M704" i="1"/>
  <c r="K705" i="1"/>
  <c r="M705" i="1"/>
  <c r="K706" i="1"/>
  <c r="M706" i="1"/>
  <c r="K707" i="1"/>
  <c r="M707" i="1"/>
  <c r="K708" i="1"/>
  <c r="M708" i="1"/>
  <c r="K709" i="1"/>
  <c r="M709" i="1"/>
  <c r="K710" i="1"/>
  <c r="M710" i="1"/>
  <c r="K711" i="1"/>
  <c r="M711" i="1"/>
  <c r="K712" i="1"/>
  <c r="M712" i="1"/>
  <c r="K713" i="1"/>
  <c r="M713" i="1"/>
  <c r="K714" i="1"/>
  <c r="M714" i="1"/>
  <c r="K715" i="1"/>
  <c r="M715" i="1"/>
  <c r="K716" i="1"/>
  <c r="M716" i="1"/>
  <c r="K717" i="1"/>
  <c r="M717" i="1"/>
  <c r="K718" i="1"/>
  <c r="M718" i="1"/>
  <c r="K719" i="1"/>
  <c r="M719" i="1"/>
  <c r="K720" i="1"/>
  <c r="M720" i="1"/>
  <c r="K721" i="1"/>
  <c r="M721" i="1"/>
  <c r="K722" i="1"/>
  <c r="M722" i="1"/>
  <c r="K723" i="1"/>
  <c r="M723" i="1"/>
  <c r="K724" i="1"/>
  <c r="M724" i="1"/>
  <c r="K725" i="1"/>
  <c r="M725" i="1"/>
  <c r="K726" i="1"/>
  <c r="M726" i="1"/>
  <c r="K727" i="1"/>
  <c r="M727" i="1"/>
  <c r="K728" i="1"/>
  <c r="M728" i="1"/>
  <c r="K729" i="1"/>
  <c r="M729" i="1"/>
  <c r="K730" i="1"/>
  <c r="M730" i="1"/>
  <c r="K731" i="1"/>
  <c r="M731" i="1"/>
  <c r="K732" i="1"/>
  <c r="M732" i="1"/>
  <c r="K733" i="1"/>
  <c r="M733" i="1"/>
  <c r="K734" i="1"/>
  <c r="M734" i="1"/>
  <c r="K735" i="1"/>
  <c r="M735" i="1"/>
  <c r="K736" i="1"/>
  <c r="M736" i="1"/>
  <c r="K737" i="1"/>
  <c r="M737" i="1"/>
  <c r="K738" i="1"/>
  <c r="M738" i="1"/>
  <c r="K739" i="1"/>
  <c r="M739" i="1"/>
  <c r="K740" i="1"/>
  <c r="M740" i="1"/>
  <c r="K741" i="1"/>
  <c r="M741" i="1"/>
  <c r="K742" i="1"/>
  <c r="M742" i="1"/>
  <c r="K743" i="1"/>
  <c r="M743" i="1"/>
  <c r="K744" i="1"/>
  <c r="M744" i="1"/>
  <c r="K745" i="1"/>
  <c r="M745" i="1"/>
  <c r="K746" i="1"/>
  <c r="M746" i="1"/>
  <c r="K747" i="1"/>
  <c r="M747" i="1"/>
  <c r="K748" i="1"/>
  <c r="M748" i="1"/>
  <c r="K749" i="1"/>
  <c r="M749" i="1"/>
  <c r="K750" i="1"/>
  <c r="M750" i="1"/>
  <c r="K751" i="1"/>
  <c r="M751" i="1"/>
  <c r="K752" i="1"/>
  <c r="M752" i="1"/>
  <c r="K753" i="1"/>
  <c r="M753" i="1"/>
  <c r="K754" i="1"/>
  <c r="M754" i="1"/>
  <c r="K755" i="1"/>
  <c r="M755" i="1"/>
  <c r="K756" i="1"/>
  <c r="M756" i="1"/>
  <c r="K757" i="1"/>
  <c r="M757" i="1"/>
  <c r="K758" i="1"/>
  <c r="M758" i="1"/>
  <c r="K759" i="1"/>
  <c r="M759" i="1"/>
  <c r="K760" i="1"/>
  <c r="M760" i="1"/>
  <c r="K761" i="1"/>
  <c r="M761" i="1"/>
  <c r="K762" i="1"/>
  <c r="M762" i="1"/>
  <c r="K763" i="1"/>
  <c r="M763" i="1"/>
  <c r="K764" i="1"/>
  <c r="M764" i="1"/>
  <c r="K765" i="1"/>
  <c r="M765" i="1"/>
  <c r="K766" i="1"/>
  <c r="M766" i="1"/>
  <c r="K767" i="1"/>
  <c r="M767" i="1"/>
  <c r="K768" i="1"/>
  <c r="M768" i="1"/>
  <c r="K769" i="1"/>
  <c r="M769" i="1"/>
  <c r="K770" i="1"/>
  <c r="M770" i="1"/>
  <c r="K771" i="1"/>
  <c r="M771" i="1"/>
  <c r="K772" i="1"/>
  <c r="M772" i="1"/>
  <c r="K773" i="1"/>
  <c r="M773" i="1"/>
  <c r="K774" i="1"/>
  <c r="M774" i="1"/>
  <c r="K775" i="1"/>
  <c r="M775" i="1"/>
  <c r="K776" i="1"/>
  <c r="M776" i="1"/>
  <c r="K777" i="1"/>
  <c r="M777" i="1"/>
  <c r="K778" i="1"/>
  <c r="M778" i="1"/>
  <c r="K779" i="1"/>
  <c r="M779" i="1"/>
  <c r="K780" i="1"/>
  <c r="M780" i="1"/>
  <c r="K781" i="1"/>
  <c r="M781" i="1"/>
  <c r="K782" i="1"/>
  <c r="M782" i="1"/>
  <c r="K783" i="1"/>
  <c r="M783" i="1"/>
  <c r="K784" i="1"/>
  <c r="M784" i="1"/>
  <c r="K785" i="1"/>
  <c r="M785" i="1"/>
  <c r="K786" i="1"/>
  <c r="M786" i="1"/>
  <c r="K787" i="1"/>
  <c r="M787" i="1"/>
  <c r="K788" i="1"/>
  <c r="M788" i="1"/>
  <c r="K789" i="1"/>
  <c r="M789" i="1"/>
  <c r="K790" i="1"/>
  <c r="M790" i="1"/>
  <c r="K791" i="1"/>
  <c r="M791" i="1"/>
  <c r="K792" i="1"/>
  <c r="M792" i="1"/>
  <c r="K793" i="1"/>
  <c r="M793" i="1"/>
  <c r="K794" i="1"/>
  <c r="M794" i="1"/>
  <c r="K795" i="1"/>
  <c r="M795" i="1"/>
  <c r="K796" i="1"/>
  <c r="M796" i="1"/>
  <c r="K797" i="1"/>
  <c r="M797" i="1"/>
  <c r="K798" i="1"/>
  <c r="M798" i="1"/>
  <c r="K799" i="1"/>
  <c r="M799" i="1"/>
  <c r="K800" i="1"/>
  <c r="M800" i="1"/>
  <c r="K801" i="1"/>
  <c r="M801" i="1"/>
  <c r="K802" i="1"/>
  <c r="M802" i="1"/>
  <c r="K803" i="1"/>
  <c r="M803" i="1"/>
  <c r="K804" i="1"/>
  <c r="M804" i="1"/>
  <c r="K805" i="1"/>
  <c r="M805" i="1"/>
  <c r="K806" i="1"/>
  <c r="M806" i="1"/>
  <c r="K807" i="1"/>
  <c r="M807" i="1"/>
  <c r="K808" i="1"/>
  <c r="M808" i="1"/>
  <c r="K809" i="1"/>
  <c r="M809" i="1"/>
  <c r="K810" i="1"/>
  <c r="M810" i="1"/>
  <c r="K811" i="1"/>
  <c r="M811" i="1"/>
  <c r="K812" i="1"/>
  <c r="M812" i="1"/>
  <c r="K813" i="1"/>
  <c r="M813" i="1"/>
  <c r="K814" i="1"/>
  <c r="M814" i="1"/>
  <c r="K815" i="1"/>
  <c r="M815" i="1"/>
  <c r="K816" i="1"/>
  <c r="M816" i="1"/>
  <c r="K817" i="1"/>
  <c r="M817" i="1"/>
  <c r="K818" i="1"/>
  <c r="M818" i="1"/>
  <c r="K819" i="1"/>
  <c r="M819" i="1"/>
  <c r="K820" i="1"/>
  <c r="M820" i="1"/>
  <c r="K821" i="1"/>
  <c r="M821" i="1"/>
  <c r="K822" i="1"/>
  <c r="M822" i="1"/>
  <c r="K823" i="1"/>
  <c r="M823" i="1"/>
  <c r="K824" i="1"/>
  <c r="M824" i="1"/>
  <c r="K825" i="1"/>
  <c r="M825" i="1"/>
  <c r="K826" i="1"/>
  <c r="M826" i="1"/>
  <c r="K827" i="1"/>
  <c r="M827" i="1"/>
  <c r="K828" i="1"/>
  <c r="M828" i="1"/>
  <c r="K829" i="1"/>
  <c r="M829" i="1"/>
  <c r="K830" i="1"/>
  <c r="M830" i="1"/>
  <c r="K831" i="1"/>
  <c r="M831" i="1"/>
  <c r="K832" i="1"/>
  <c r="M832" i="1"/>
  <c r="K833" i="1"/>
  <c r="M833" i="1"/>
  <c r="K834" i="1"/>
  <c r="M834" i="1"/>
  <c r="K835" i="1"/>
  <c r="M835" i="1"/>
  <c r="K836" i="1"/>
  <c r="M836" i="1"/>
  <c r="K837" i="1"/>
  <c r="M837" i="1"/>
  <c r="K838" i="1"/>
  <c r="M838" i="1"/>
  <c r="K839" i="1"/>
  <c r="M839" i="1"/>
  <c r="K840" i="1"/>
  <c r="M840" i="1"/>
  <c r="K841" i="1"/>
  <c r="M841" i="1"/>
  <c r="K842" i="1"/>
  <c r="M842" i="1"/>
  <c r="K843" i="1"/>
  <c r="M843" i="1"/>
  <c r="K844" i="1"/>
  <c r="M844" i="1"/>
  <c r="K845" i="1"/>
  <c r="M845" i="1"/>
  <c r="K846" i="1"/>
  <c r="M846" i="1"/>
  <c r="K847" i="1"/>
  <c r="M847" i="1"/>
  <c r="K848" i="1"/>
  <c r="M848" i="1"/>
  <c r="K849" i="1"/>
  <c r="M849" i="1"/>
  <c r="K850" i="1"/>
  <c r="M850" i="1"/>
  <c r="K851" i="1"/>
  <c r="M851" i="1"/>
  <c r="K852" i="1"/>
  <c r="M852" i="1"/>
  <c r="K853" i="1"/>
  <c r="M853" i="1"/>
  <c r="K854" i="1"/>
  <c r="M854" i="1"/>
  <c r="K855" i="1"/>
  <c r="M855" i="1"/>
  <c r="K856" i="1"/>
  <c r="M856" i="1"/>
  <c r="K857" i="1"/>
  <c r="M857" i="1"/>
  <c r="K858" i="1"/>
  <c r="M858" i="1"/>
  <c r="K859" i="1"/>
  <c r="M859" i="1"/>
  <c r="K860" i="1"/>
  <c r="M860" i="1"/>
  <c r="K861" i="1"/>
  <c r="M861" i="1"/>
  <c r="K862" i="1"/>
  <c r="M862" i="1"/>
  <c r="K863" i="1"/>
  <c r="M863" i="1"/>
  <c r="K864" i="1"/>
  <c r="M864" i="1"/>
  <c r="K865" i="1"/>
  <c r="M865" i="1"/>
  <c r="K866" i="1"/>
  <c r="M866" i="1"/>
  <c r="K867" i="1"/>
  <c r="M867" i="1"/>
  <c r="K868" i="1"/>
  <c r="M868" i="1"/>
  <c r="K869" i="1"/>
  <c r="M869" i="1"/>
  <c r="K870" i="1"/>
  <c r="M870" i="1"/>
  <c r="K871" i="1"/>
  <c r="M871" i="1"/>
  <c r="K872" i="1"/>
  <c r="M872" i="1"/>
  <c r="K873" i="1"/>
  <c r="M873" i="1"/>
  <c r="K874" i="1"/>
  <c r="M874" i="1"/>
  <c r="K875" i="1"/>
  <c r="M875" i="1"/>
  <c r="K876" i="1"/>
  <c r="M876" i="1"/>
  <c r="K877" i="1"/>
  <c r="M877" i="1"/>
  <c r="K878" i="1"/>
  <c r="M878" i="1"/>
  <c r="K879" i="1"/>
  <c r="M879" i="1"/>
  <c r="K880" i="1"/>
  <c r="M880" i="1"/>
  <c r="K881" i="1"/>
  <c r="M881" i="1"/>
  <c r="K882" i="1"/>
  <c r="M882" i="1"/>
  <c r="K883" i="1"/>
  <c r="M883" i="1"/>
  <c r="K884" i="1"/>
  <c r="M884" i="1"/>
  <c r="K885" i="1"/>
  <c r="M885" i="1"/>
  <c r="K886" i="1"/>
  <c r="M886" i="1"/>
  <c r="K887" i="1"/>
  <c r="M887" i="1"/>
  <c r="K888" i="1"/>
  <c r="M888" i="1"/>
  <c r="K889" i="1"/>
  <c r="M889" i="1"/>
  <c r="K890" i="1"/>
  <c r="M890" i="1"/>
  <c r="K891" i="1"/>
  <c r="M891" i="1"/>
  <c r="K892" i="1"/>
  <c r="M892" i="1"/>
  <c r="K893" i="1"/>
  <c r="M893" i="1"/>
  <c r="K894" i="1"/>
  <c r="M894" i="1"/>
  <c r="K895" i="1"/>
  <c r="M895" i="1"/>
  <c r="K896" i="1"/>
  <c r="M896" i="1"/>
  <c r="K897" i="1"/>
  <c r="M897" i="1"/>
  <c r="K898" i="1"/>
  <c r="M898" i="1"/>
  <c r="K899" i="1"/>
  <c r="M899" i="1"/>
  <c r="K900" i="1"/>
  <c r="M900" i="1"/>
  <c r="K901" i="1"/>
  <c r="M901" i="1"/>
  <c r="K902" i="1"/>
  <c r="M902" i="1"/>
  <c r="K903" i="1"/>
  <c r="M903" i="1"/>
  <c r="K904" i="1"/>
  <c r="M904" i="1"/>
  <c r="K905" i="1"/>
  <c r="M905" i="1"/>
  <c r="K906" i="1"/>
  <c r="M906" i="1"/>
  <c r="K907" i="1"/>
  <c r="M907" i="1"/>
  <c r="K908" i="1"/>
  <c r="M908" i="1"/>
  <c r="K909" i="1"/>
  <c r="M909" i="1"/>
  <c r="K910" i="1"/>
  <c r="M910" i="1"/>
  <c r="K911" i="1"/>
  <c r="M911" i="1"/>
  <c r="K912" i="1"/>
  <c r="M912" i="1"/>
  <c r="K913" i="1"/>
  <c r="M913" i="1"/>
  <c r="K914" i="1"/>
  <c r="M914" i="1"/>
  <c r="K915" i="1"/>
  <c r="M915" i="1"/>
  <c r="K916" i="1"/>
  <c r="M916" i="1"/>
  <c r="K917" i="1"/>
  <c r="M917" i="1"/>
  <c r="K918" i="1"/>
  <c r="M918" i="1"/>
  <c r="K919" i="1"/>
  <c r="M919" i="1"/>
  <c r="K920" i="1"/>
  <c r="M920" i="1"/>
  <c r="K921" i="1"/>
  <c r="M921" i="1"/>
  <c r="K922" i="1"/>
  <c r="M922" i="1"/>
  <c r="K923" i="1"/>
  <c r="M923" i="1"/>
  <c r="K924" i="1"/>
  <c r="M924" i="1"/>
  <c r="K925" i="1"/>
  <c r="M925" i="1"/>
  <c r="K926" i="1"/>
  <c r="M926" i="1"/>
  <c r="K927" i="1"/>
  <c r="M927" i="1"/>
  <c r="K928" i="1"/>
  <c r="M928" i="1"/>
  <c r="K929" i="1"/>
  <c r="M929" i="1"/>
  <c r="K930" i="1"/>
  <c r="M930" i="1"/>
  <c r="K931" i="1"/>
  <c r="M931" i="1"/>
  <c r="K932" i="1"/>
  <c r="M932" i="1"/>
  <c r="K933" i="1"/>
  <c r="M933" i="1"/>
  <c r="K934" i="1"/>
  <c r="M934" i="1"/>
  <c r="K935" i="1"/>
  <c r="M935" i="1"/>
  <c r="K936" i="1"/>
  <c r="M936" i="1"/>
  <c r="K937" i="1"/>
  <c r="M937" i="1"/>
  <c r="K938" i="1"/>
  <c r="M938" i="1"/>
  <c r="K939" i="1"/>
  <c r="M939" i="1"/>
  <c r="K940" i="1"/>
  <c r="M940" i="1"/>
  <c r="K941" i="1"/>
  <c r="M941" i="1"/>
  <c r="K942" i="1"/>
  <c r="M942" i="1"/>
  <c r="K943" i="1"/>
  <c r="M943" i="1"/>
  <c r="K944" i="1"/>
  <c r="M944" i="1"/>
  <c r="K945" i="1"/>
  <c r="M945" i="1"/>
  <c r="K946" i="1"/>
  <c r="M946" i="1"/>
  <c r="K947" i="1"/>
  <c r="M947" i="1"/>
  <c r="K948" i="1"/>
  <c r="M948" i="1"/>
  <c r="K949" i="1"/>
  <c r="M949" i="1"/>
  <c r="K950" i="1"/>
  <c r="M950" i="1"/>
  <c r="K951" i="1"/>
  <c r="M951" i="1"/>
  <c r="K952" i="1"/>
  <c r="M952" i="1"/>
  <c r="K953" i="1"/>
  <c r="M953" i="1"/>
  <c r="K954" i="1"/>
  <c r="M954" i="1"/>
  <c r="K955" i="1"/>
  <c r="M955" i="1"/>
  <c r="K956" i="1"/>
  <c r="M956" i="1"/>
  <c r="K957" i="1"/>
  <c r="M957" i="1"/>
  <c r="K958" i="1"/>
  <c r="M958" i="1"/>
  <c r="K959" i="1"/>
  <c r="M959" i="1"/>
  <c r="K960" i="1"/>
  <c r="M960" i="1"/>
  <c r="K961" i="1"/>
  <c r="M961" i="1"/>
  <c r="K962" i="1"/>
  <c r="M962" i="1"/>
  <c r="K963" i="1"/>
  <c r="M963" i="1"/>
  <c r="K964" i="1"/>
  <c r="M964" i="1"/>
  <c r="K965" i="1"/>
  <c r="M965" i="1"/>
  <c r="K966" i="1"/>
  <c r="M966" i="1"/>
  <c r="K967" i="1"/>
  <c r="M967" i="1"/>
  <c r="K968" i="1"/>
  <c r="M968" i="1"/>
  <c r="K969" i="1"/>
  <c r="M969" i="1"/>
  <c r="K970" i="1"/>
  <c r="M970" i="1"/>
  <c r="K971" i="1"/>
  <c r="M971" i="1"/>
  <c r="K972" i="1"/>
  <c r="M972" i="1"/>
  <c r="K973" i="1"/>
  <c r="M973" i="1"/>
  <c r="K974" i="1"/>
  <c r="M974" i="1"/>
  <c r="K975" i="1"/>
  <c r="M975" i="1"/>
  <c r="K976" i="1"/>
  <c r="M976" i="1"/>
  <c r="K977" i="1"/>
  <c r="M977" i="1"/>
  <c r="K978" i="1"/>
  <c r="M978" i="1"/>
  <c r="K979" i="1"/>
  <c r="M979" i="1"/>
  <c r="K980" i="1"/>
  <c r="M980" i="1"/>
  <c r="K981" i="1"/>
  <c r="M981" i="1"/>
  <c r="K982" i="1"/>
  <c r="M982" i="1"/>
  <c r="K983" i="1"/>
  <c r="M983" i="1"/>
  <c r="K984" i="1"/>
  <c r="M984" i="1"/>
  <c r="K985" i="1"/>
  <c r="M985" i="1"/>
  <c r="K986" i="1"/>
  <c r="M986" i="1"/>
  <c r="K987" i="1"/>
  <c r="M987" i="1"/>
  <c r="K988" i="1"/>
  <c r="M988" i="1"/>
  <c r="K989" i="1"/>
  <c r="M989" i="1"/>
  <c r="K990" i="1"/>
  <c r="M990" i="1"/>
  <c r="K991" i="1"/>
  <c r="M991" i="1"/>
  <c r="G552" i="1"/>
  <c r="H552" i="1"/>
  <c r="G553" i="1"/>
  <c r="H553" i="1"/>
  <c r="G554" i="1"/>
  <c r="H554" i="1"/>
  <c r="G555" i="1"/>
  <c r="H555" i="1"/>
  <c r="G556" i="1"/>
  <c r="H556" i="1"/>
  <c r="G557" i="1"/>
  <c r="H557" i="1"/>
  <c r="G558" i="1"/>
  <c r="H558" i="1"/>
  <c r="G559" i="1"/>
  <c r="H559" i="1"/>
  <c r="G560" i="1"/>
  <c r="H560" i="1"/>
  <c r="G561" i="1"/>
  <c r="H561" i="1"/>
  <c r="G562" i="1"/>
  <c r="H562" i="1"/>
  <c r="G563" i="1"/>
  <c r="H563" i="1"/>
  <c r="G564" i="1"/>
  <c r="H564" i="1"/>
  <c r="G565" i="1"/>
  <c r="H565" i="1"/>
  <c r="G566" i="1"/>
  <c r="H566" i="1"/>
  <c r="G567" i="1"/>
  <c r="H567" i="1"/>
  <c r="G568" i="1"/>
  <c r="H568" i="1"/>
  <c r="G569" i="1"/>
  <c r="H569" i="1"/>
  <c r="G570" i="1"/>
  <c r="H570" i="1"/>
  <c r="G571" i="1"/>
  <c r="H571" i="1"/>
  <c r="G572" i="1"/>
  <c r="H572" i="1"/>
  <c r="G573" i="1"/>
  <c r="H573" i="1"/>
  <c r="G574" i="1"/>
  <c r="H574" i="1"/>
  <c r="G575" i="1"/>
  <c r="H575" i="1"/>
  <c r="G576" i="1"/>
  <c r="H576" i="1"/>
  <c r="G577" i="1"/>
  <c r="H577" i="1"/>
  <c r="G578" i="1"/>
  <c r="H578" i="1"/>
  <c r="G579" i="1"/>
  <c r="H579" i="1"/>
  <c r="G580" i="1"/>
  <c r="H580" i="1"/>
  <c r="G581" i="1"/>
  <c r="H581" i="1"/>
  <c r="G582" i="1"/>
  <c r="H582" i="1"/>
  <c r="G583" i="1"/>
  <c r="H583" i="1"/>
  <c r="G584" i="1"/>
  <c r="H584" i="1"/>
  <c r="G585" i="1"/>
  <c r="H585" i="1"/>
  <c r="G586" i="1"/>
  <c r="H586" i="1"/>
  <c r="G587" i="1"/>
  <c r="H587" i="1"/>
  <c r="G588" i="1"/>
  <c r="H588" i="1"/>
  <c r="G589" i="1"/>
  <c r="H589" i="1"/>
  <c r="G590" i="1"/>
  <c r="H590" i="1"/>
  <c r="G591" i="1"/>
  <c r="H591" i="1"/>
  <c r="G592" i="1"/>
  <c r="H592" i="1"/>
  <c r="G593" i="1"/>
  <c r="H593" i="1"/>
  <c r="G594" i="1"/>
  <c r="H594" i="1"/>
  <c r="G595" i="1"/>
  <c r="H595" i="1"/>
  <c r="G596" i="1"/>
  <c r="H596" i="1"/>
  <c r="G597" i="1"/>
  <c r="H597" i="1"/>
  <c r="G598" i="1"/>
  <c r="H598" i="1"/>
  <c r="G599" i="1"/>
  <c r="H599" i="1"/>
  <c r="G600" i="1"/>
  <c r="H600" i="1"/>
  <c r="G601" i="1"/>
  <c r="H601" i="1"/>
  <c r="G602" i="1"/>
  <c r="H602" i="1"/>
  <c r="G603" i="1"/>
  <c r="H603" i="1"/>
  <c r="G604" i="1"/>
  <c r="H604" i="1"/>
  <c r="G605" i="1"/>
  <c r="H605" i="1"/>
  <c r="G606" i="1"/>
  <c r="H606" i="1"/>
  <c r="G607" i="1"/>
  <c r="H607" i="1"/>
  <c r="G608" i="1"/>
  <c r="H608" i="1"/>
  <c r="G609" i="1"/>
  <c r="H609" i="1"/>
  <c r="G610" i="1"/>
  <c r="H610" i="1"/>
  <c r="G611" i="1"/>
  <c r="H611" i="1"/>
  <c r="G612" i="1"/>
  <c r="H612" i="1"/>
  <c r="G613" i="1"/>
  <c r="H613" i="1"/>
  <c r="G614" i="1"/>
  <c r="H614" i="1"/>
  <c r="G615" i="1"/>
  <c r="H615" i="1"/>
  <c r="G616" i="1"/>
  <c r="H616" i="1"/>
  <c r="G617" i="1"/>
  <c r="H617" i="1"/>
  <c r="G618" i="1"/>
  <c r="H618" i="1"/>
  <c r="G619" i="1"/>
  <c r="H619" i="1"/>
  <c r="G620" i="1"/>
  <c r="H620" i="1"/>
  <c r="G621" i="1"/>
  <c r="H621" i="1"/>
  <c r="G622" i="1"/>
  <c r="H622" i="1"/>
  <c r="G623" i="1"/>
  <c r="H623" i="1"/>
  <c r="G624" i="1"/>
  <c r="H624" i="1"/>
  <c r="G625" i="1"/>
  <c r="H625" i="1"/>
  <c r="G626" i="1"/>
  <c r="H626" i="1"/>
  <c r="G627" i="1"/>
  <c r="H627" i="1"/>
  <c r="G628" i="1"/>
  <c r="H628" i="1"/>
  <c r="G629" i="1"/>
  <c r="H629" i="1"/>
  <c r="G630" i="1"/>
  <c r="H630" i="1"/>
  <c r="G631" i="1"/>
  <c r="H631" i="1"/>
  <c r="G632" i="1"/>
  <c r="H632" i="1"/>
  <c r="G633" i="1"/>
  <c r="H633" i="1"/>
  <c r="G634" i="1"/>
  <c r="H634" i="1"/>
  <c r="G635" i="1"/>
  <c r="H635" i="1"/>
  <c r="G636" i="1"/>
  <c r="H636" i="1"/>
  <c r="G637" i="1"/>
  <c r="H637" i="1"/>
  <c r="G638" i="1"/>
  <c r="H638" i="1"/>
  <c r="G639" i="1"/>
  <c r="H639" i="1"/>
  <c r="G640" i="1"/>
  <c r="H640" i="1"/>
  <c r="G641" i="1"/>
  <c r="H641" i="1"/>
  <c r="G642" i="1"/>
  <c r="H642" i="1"/>
  <c r="G643" i="1"/>
  <c r="H643" i="1"/>
  <c r="G644" i="1"/>
  <c r="H644" i="1"/>
  <c r="G645" i="1"/>
  <c r="H645" i="1"/>
  <c r="G646" i="1"/>
  <c r="H646" i="1"/>
  <c r="G647" i="1"/>
  <c r="H647" i="1"/>
  <c r="G648" i="1"/>
  <c r="H648" i="1"/>
  <c r="G649" i="1"/>
  <c r="H649" i="1"/>
  <c r="G650" i="1"/>
  <c r="H650" i="1"/>
  <c r="G651" i="1"/>
  <c r="H651" i="1"/>
  <c r="G652" i="1"/>
  <c r="H652" i="1"/>
  <c r="G653" i="1"/>
  <c r="H653" i="1"/>
  <c r="G654" i="1"/>
  <c r="H654" i="1"/>
  <c r="G655" i="1"/>
  <c r="H655" i="1"/>
  <c r="G656" i="1"/>
  <c r="H656" i="1"/>
  <c r="G657" i="1"/>
  <c r="H657" i="1"/>
  <c r="G658" i="1"/>
  <c r="H658" i="1"/>
  <c r="G659" i="1"/>
  <c r="H659" i="1"/>
  <c r="G660" i="1"/>
  <c r="H660" i="1"/>
  <c r="G661" i="1"/>
  <c r="H661" i="1"/>
  <c r="G662" i="1"/>
  <c r="H662" i="1"/>
  <c r="G663" i="1"/>
  <c r="H663" i="1"/>
  <c r="G664" i="1"/>
  <c r="H664" i="1"/>
  <c r="G665" i="1"/>
  <c r="H665" i="1"/>
  <c r="G666" i="1"/>
  <c r="H666" i="1"/>
  <c r="G667" i="1"/>
  <c r="H667" i="1"/>
  <c r="G668" i="1"/>
  <c r="H668" i="1"/>
  <c r="G669" i="1"/>
  <c r="H669" i="1"/>
  <c r="G670" i="1"/>
  <c r="H670" i="1"/>
  <c r="G671" i="1"/>
  <c r="H671" i="1"/>
  <c r="G672" i="1"/>
  <c r="H672" i="1"/>
  <c r="G673" i="1"/>
  <c r="H673" i="1"/>
  <c r="G674" i="1"/>
  <c r="H674" i="1"/>
  <c r="G675" i="1"/>
  <c r="H675" i="1"/>
  <c r="G676" i="1"/>
  <c r="H676" i="1"/>
  <c r="G677" i="1"/>
  <c r="H677" i="1"/>
  <c r="G678" i="1"/>
  <c r="H678" i="1"/>
  <c r="G679" i="1"/>
  <c r="H679" i="1"/>
  <c r="G680" i="1"/>
  <c r="H680" i="1"/>
  <c r="G681" i="1"/>
  <c r="H681" i="1"/>
  <c r="G682" i="1"/>
  <c r="H682" i="1"/>
  <c r="G683" i="1"/>
  <c r="H683" i="1"/>
  <c r="G684" i="1"/>
  <c r="H684" i="1"/>
  <c r="G685" i="1"/>
  <c r="H685" i="1"/>
  <c r="G686" i="1"/>
  <c r="H686" i="1"/>
  <c r="G687" i="1"/>
  <c r="H687" i="1"/>
  <c r="G688" i="1"/>
  <c r="H688" i="1"/>
  <c r="G689" i="1"/>
  <c r="H689" i="1"/>
  <c r="G690" i="1"/>
  <c r="H690" i="1"/>
  <c r="G691" i="1"/>
  <c r="H691" i="1"/>
  <c r="G692" i="1"/>
  <c r="H692" i="1"/>
  <c r="G693" i="1"/>
  <c r="H693" i="1"/>
  <c r="G694" i="1"/>
  <c r="H694" i="1"/>
  <c r="G695" i="1"/>
  <c r="H695" i="1"/>
  <c r="G696" i="1"/>
  <c r="H696" i="1"/>
  <c r="G697" i="1"/>
  <c r="H697" i="1"/>
  <c r="G698" i="1"/>
  <c r="H698" i="1"/>
  <c r="G699" i="1"/>
  <c r="H699" i="1"/>
  <c r="G700" i="1"/>
  <c r="H700" i="1"/>
  <c r="G701" i="1"/>
  <c r="H701" i="1"/>
  <c r="G702" i="1"/>
  <c r="H702" i="1"/>
  <c r="G703" i="1"/>
  <c r="H703" i="1"/>
  <c r="G704" i="1"/>
  <c r="H704" i="1"/>
  <c r="G705" i="1"/>
  <c r="H705" i="1"/>
  <c r="G706" i="1"/>
  <c r="H706" i="1"/>
  <c r="G707" i="1"/>
  <c r="H707" i="1"/>
  <c r="G708" i="1"/>
  <c r="H708" i="1"/>
  <c r="G709" i="1"/>
  <c r="H709" i="1"/>
  <c r="G710" i="1"/>
  <c r="H710" i="1"/>
  <c r="G711" i="1"/>
  <c r="H711" i="1"/>
  <c r="G712" i="1"/>
  <c r="H712" i="1"/>
  <c r="G713" i="1"/>
  <c r="H713" i="1"/>
  <c r="G714" i="1"/>
  <c r="H714" i="1"/>
  <c r="G715" i="1"/>
  <c r="H715" i="1"/>
  <c r="G716" i="1"/>
  <c r="H716" i="1"/>
  <c r="G717" i="1"/>
  <c r="H717" i="1"/>
  <c r="G718" i="1"/>
  <c r="H718" i="1"/>
  <c r="G719" i="1"/>
  <c r="H719" i="1"/>
  <c r="G720" i="1"/>
  <c r="H720" i="1"/>
  <c r="G721" i="1"/>
  <c r="H721" i="1"/>
  <c r="G722" i="1"/>
  <c r="H722" i="1"/>
  <c r="G723" i="1"/>
  <c r="H723" i="1"/>
  <c r="G724" i="1"/>
  <c r="H724" i="1"/>
  <c r="G725" i="1"/>
  <c r="H725" i="1"/>
  <c r="G726" i="1"/>
  <c r="H726" i="1"/>
  <c r="G727" i="1"/>
  <c r="H727" i="1"/>
  <c r="G728" i="1"/>
  <c r="H728" i="1"/>
  <c r="G729" i="1"/>
  <c r="H729" i="1"/>
  <c r="G730" i="1"/>
  <c r="H730" i="1"/>
  <c r="G731" i="1"/>
  <c r="H731" i="1"/>
  <c r="G732" i="1"/>
  <c r="H732" i="1"/>
  <c r="G733" i="1"/>
  <c r="H733" i="1"/>
  <c r="G734" i="1"/>
  <c r="H734" i="1"/>
  <c r="G735" i="1"/>
  <c r="H735" i="1"/>
  <c r="G736" i="1"/>
  <c r="H736" i="1"/>
  <c r="G737" i="1"/>
  <c r="H737" i="1"/>
  <c r="G738" i="1"/>
  <c r="H738" i="1"/>
  <c r="G739" i="1"/>
  <c r="H739" i="1"/>
  <c r="G740" i="1"/>
  <c r="H740" i="1"/>
  <c r="G741" i="1"/>
  <c r="H741" i="1"/>
  <c r="G742" i="1"/>
  <c r="H742" i="1"/>
  <c r="G743" i="1"/>
  <c r="H743" i="1"/>
  <c r="G744" i="1"/>
  <c r="H744" i="1"/>
  <c r="G745" i="1"/>
  <c r="H745" i="1"/>
  <c r="G746" i="1"/>
  <c r="H746" i="1"/>
  <c r="G747" i="1"/>
  <c r="H747" i="1"/>
  <c r="G748" i="1"/>
  <c r="H748" i="1"/>
  <c r="G749" i="1"/>
  <c r="H749" i="1"/>
  <c r="G750" i="1"/>
  <c r="H750" i="1"/>
  <c r="G751" i="1"/>
  <c r="H751" i="1"/>
  <c r="G752" i="1"/>
  <c r="H752" i="1"/>
  <c r="G753" i="1"/>
  <c r="H753" i="1"/>
  <c r="G754" i="1"/>
  <c r="H754" i="1"/>
  <c r="G755" i="1"/>
  <c r="H755" i="1"/>
  <c r="G756" i="1"/>
  <c r="H756" i="1"/>
  <c r="G757" i="1"/>
  <c r="H757" i="1"/>
  <c r="G758" i="1"/>
  <c r="H758" i="1"/>
  <c r="G759" i="1"/>
  <c r="H759" i="1"/>
  <c r="G760" i="1"/>
  <c r="H760" i="1"/>
  <c r="G761" i="1"/>
  <c r="H761" i="1"/>
  <c r="G762" i="1"/>
  <c r="H762" i="1"/>
  <c r="G763" i="1"/>
  <c r="H763" i="1"/>
  <c r="G764" i="1"/>
  <c r="H764" i="1"/>
  <c r="G765" i="1"/>
  <c r="H765" i="1"/>
  <c r="G766" i="1"/>
  <c r="H766" i="1"/>
  <c r="G767" i="1"/>
  <c r="H767" i="1"/>
  <c r="G768" i="1"/>
  <c r="H768" i="1"/>
  <c r="G769" i="1"/>
  <c r="H769" i="1"/>
  <c r="G770" i="1"/>
  <c r="H770" i="1"/>
  <c r="G771" i="1"/>
  <c r="H771" i="1"/>
  <c r="G772" i="1"/>
  <c r="H772" i="1"/>
  <c r="G773" i="1"/>
  <c r="H773" i="1"/>
  <c r="G774" i="1"/>
  <c r="H774" i="1"/>
  <c r="G775" i="1"/>
  <c r="H775" i="1"/>
  <c r="G776" i="1"/>
  <c r="H776" i="1"/>
  <c r="G777" i="1"/>
  <c r="H777" i="1"/>
  <c r="G778" i="1"/>
  <c r="H778" i="1"/>
  <c r="G779" i="1"/>
  <c r="H779" i="1"/>
  <c r="G780" i="1"/>
  <c r="H780" i="1"/>
  <c r="G781" i="1"/>
  <c r="H781" i="1"/>
  <c r="G782" i="1"/>
  <c r="H782" i="1"/>
  <c r="G783" i="1"/>
  <c r="H783" i="1"/>
  <c r="G784" i="1"/>
  <c r="H784" i="1"/>
  <c r="G785" i="1"/>
  <c r="H785" i="1"/>
  <c r="G786" i="1"/>
  <c r="H786" i="1"/>
  <c r="G787" i="1"/>
  <c r="H787" i="1"/>
  <c r="G788" i="1"/>
  <c r="H788" i="1"/>
  <c r="G789" i="1"/>
  <c r="H789" i="1"/>
  <c r="G790" i="1"/>
  <c r="H790" i="1"/>
  <c r="G791" i="1"/>
  <c r="H791" i="1"/>
  <c r="G792" i="1"/>
  <c r="H792" i="1"/>
  <c r="G793" i="1"/>
  <c r="H793" i="1"/>
  <c r="G794" i="1"/>
  <c r="H794" i="1"/>
  <c r="G795" i="1"/>
  <c r="H795" i="1"/>
  <c r="G796" i="1"/>
  <c r="H796" i="1"/>
  <c r="G797" i="1"/>
  <c r="H797" i="1"/>
  <c r="G798" i="1"/>
  <c r="H798" i="1"/>
  <c r="G799" i="1"/>
  <c r="H799" i="1"/>
  <c r="G800" i="1"/>
  <c r="H800" i="1"/>
  <c r="G801" i="1"/>
  <c r="H801" i="1"/>
  <c r="G802" i="1"/>
  <c r="H802" i="1"/>
  <c r="G803" i="1"/>
  <c r="H803" i="1"/>
  <c r="G804" i="1"/>
  <c r="H804" i="1"/>
  <c r="G805" i="1"/>
  <c r="H805" i="1"/>
  <c r="G806" i="1"/>
  <c r="H806" i="1"/>
  <c r="G807" i="1"/>
  <c r="H807" i="1"/>
  <c r="G808" i="1"/>
  <c r="H808" i="1"/>
  <c r="G809" i="1"/>
  <c r="H809" i="1"/>
  <c r="G810" i="1"/>
  <c r="H810" i="1"/>
  <c r="G811" i="1"/>
  <c r="H811" i="1"/>
  <c r="G812" i="1"/>
  <c r="H812" i="1"/>
  <c r="G813" i="1"/>
  <c r="H813" i="1"/>
  <c r="G814" i="1"/>
  <c r="H814" i="1"/>
  <c r="G815" i="1"/>
  <c r="H815" i="1"/>
  <c r="G816" i="1"/>
  <c r="H816" i="1"/>
  <c r="G817" i="1"/>
  <c r="H817" i="1"/>
  <c r="G818" i="1"/>
  <c r="H818" i="1"/>
  <c r="G819" i="1"/>
  <c r="H819" i="1"/>
  <c r="G820" i="1"/>
  <c r="H820" i="1"/>
  <c r="G821" i="1"/>
  <c r="H821" i="1"/>
  <c r="G822" i="1"/>
  <c r="H822" i="1"/>
  <c r="G823" i="1"/>
  <c r="H823" i="1"/>
  <c r="G824" i="1"/>
  <c r="H824" i="1"/>
  <c r="G825" i="1"/>
  <c r="H825" i="1"/>
  <c r="G826" i="1"/>
  <c r="H826" i="1"/>
  <c r="G827" i="1"/>
  <c r="H827" i="1"/>
  <c r="G828" i="1"/>
  <c r="H828" i="1"/>
  <c r="G829" i="1"/>
  <c r="H829" i="1"/>
  <c r="G830" i="1"/>
  <c r="H830" i="1"/>
  <c r="G831" i="1"/>
  <c r="H831" i="1"/>
  <c r="G832" i="1"/>
  <c r="H832" i="1"/>
  <c r="G833" i="1"/>
  <c r="H833" i="1"/>
  <c r="G834" i="1"/>
  <c r="H834" i="1"/>
  <c r="G835" i="1"/>
  <c r="H835" i="1"/>
  <c r="G836" i="1"/>
  <c r="H836" i="1"/>
  <c r="G837" i="1"/>
  <c r="H837" i="1"/>
  <c r="G838" i="1"/>
  <c r="H838" i="1"/>
  <c r="G839" i="1"/>
  <c r="H839" i="1"/>
  <c r="G840" i="1"/>
  <c r="H840" i="1"/>
  <c r="G841" i="1"/>
  <c r="H841" i="1"/>
  <c r="G842" i="1"/>
  <c r="H842" i="1"/>
  <c r="G843" i="1"/>
  <c r="H843" i="1"/>
  <c r="G844" i="1"/>
  <c r="H844" i="1"/>
  <c r="G845" i="1"/>
  <c r="H845" i="1"/>
  <c r="G846" i="1"/>
  <c r="H846" i="1"/>
  <c r="G847" i="1"/>
  <c r="H847" i="1"/>
  <c r="G848" i="1"/>
  <c r="H848" i="1"/>
  <c r="G849" i="1"/>
  <c r="H849" i="1"/>
  <c r="G850" i="1"/>
  <c r="H850" i="1"/>
  <c r="G851" i="1"/>
  <c r="H851" i="1"/>
  <c r="G852" i="1"/>
  <c r="H852" i="1"/>
  <c r="G853" i="1"/>
  <c r="H853" i="1"/>
  <c r="G854" i="1"/>
  <c r="H854" i="1"/>
  <c r="G855" i="1"/>
  <c r="H855" i="1"/>
  <c r="G856" i="1"/>
  <c r="H856" i="1"/>
  <c r="G857" i="1"/>
  <c r="H857" i="1"/>
  <c r="G858" i="1"/>
  <c r="H858" i="1"/>
  <c r="G859" i="1"/>
  <c r="H859" i="1"/>
  <c r="G860" i="1"/>
  <c r="H860" i="1"/>
  <c r="G861" i="1"/>
  <c r="H861" i="1"/>
  <c r="G862" i="1"/>
  <c r="H862" i="1"/>
  <c r="G863" i="1"/>
  <c r="H863" i="1"/>
  <c r="G864" i="1"/>
  <c r="H864" i="1"/>
  <c r="G865" i="1"/>
  <c r="H865" i="1"/>
  <c r="G866" i="1"/>
  <c r="H866" i="1"/>
  <c r="G867" i="1"/>
  <c r="H867" i="1"/>
  <c r="G868" i="1"/>
  <c r="H868" i="1"/>
  <c r="G869" i="1"/>
  <c r="H869" i="1"/>
  <c r="G870" i="1"/>
  <c r="H870" i="1"/>
  <c r="G871" i="1"/>
  <c r="H871" i="1"/>
  <c r="G872" i="1"/>
  <c r="H872" i="1"/>
  <c r="G873" i="1"/>
  <c r="H873" i="1"/>
  <c r="G874" i="1"/>
  <c r="H874" i="1"/>
  <c r="G875" i="1"/>
  <c r="H875" i="1"/>
  <c r="G876" i="1"/>
  <c r="H876" i="1"/>
  <c r="G877" i="1"/>
  <c r="H877" i="1"/>
  <c r="G878" i="1"/>
  <c r="H878" i="1"/>
  <c r="G879" i="1"/>
  <c r="H879" i="1"/>
  <c r="G880" i="1"/>
  <c r="H880" i="1"/>
  <c r="G881" i="1"/>
  <c r="H881" i="1"/>
  <c r="G882" i="1"/>
  <c r="H882" i="1"/>
  <c r="G883" i="1"/>
  <c r="H883" i="1"/>
  <c r="G884" i="1"/>
  <c r="H884" i="1"/>
  <c r="G885" i="1"/>
  <c r="H885" i="1"/>
  <c r="G886" i="1"/>
  <c r="H886" i="1"/>
  <c r="G887" i="1"/>
  <c r="H887" i="1"/>
  <c r="G888" i="1"/>
  <c r="H888" i="1"/>
  <c r="G889" i="1"/>
  <c r="H889" i="1"/>
  <c r="G890" i="1"/>
  <c r="H890" i="1"/>
  <c r="G891" i="1"/>
  <c r="H891" i="1"/>
  <c r="G892" i="1"/>
  <c r="H892" i="1"/>
  <c r="G893" i="1"/>
  <c r="H893" i="1"/>
  <c r="G894" i="1"/>
  <c r="H894" i="1"/>
  <c r="G895" i="1"/>
  <c r="H895" i="1"/>
  <c r="G896" i="1"/>
  <c r="H896" i="1"/>
  <c r="G897" i="1"/>
  <c r="H897" i="1"/>
  <c r="G898" i="1"/>
  <c r="H898" i="1"/>
  <c r="G899" i="1"/>
  <c r="H899" i="1"/>
  <c r="G900" i="1"/>
  <c r="H900" i="1"/>
  <c r="G901" i="1"/>
  <c r="H901" i="1"/>
  <c r="G902" i="1"/>
  <c r="H902" i="1"/>
  <c r="G903" i="1"/>
  <c r="H903" i="1"/>
  <c r="G904" i="1"/>
  <c r="H904" i="1"/>
  <c r="G905" i="1"/>
  <c r="H905" i="1"/>
  <c r="G906" i="1"/>
  <c r="H906" i="1"/>
  <c r="G907" i="1"/>
  <c r="H907" i="1"/>
  <c r="G908" i="1"/>
  <c r="H908" i="1"/>
  <c r="G909" i="1"/>
  <c r="H909" i="1"/>
  <c r="G910" i="1"/>
  <c r="H910" i="1"/>
  <c r="G911" i="1"/>
  <c r="H911" i="1"/>
  <c r="G912" i="1"/>
  <c r="H912" i="1"/>
  <c r="G913" i="1"/>
  <c r="H913" i="1"/>
  <c r="G914" i="1"/>
  <c r="H914" i="1"/>
  <c r="G915" i="1"/>
  <c r="H915" i="1"/>
  <c r="G916" i="1"/>
  <c r="H916" i="1"/>
  <c r="G917" i="1"/>
  <c r="H917" i="1"/>
  <c r="G918" i="1"/>
  <c r="H918" i="1"/>
  <c r="G919" i="1"/>
  <c r="H919" i="1"/>
  <c r="G920" i="1"/>
  <c r="H920" i="1"/>
  <c r="G921" i="1"/>
  <c r="H921" i="1"/>
  <c r="G922" i="1"/>
  <c r="H922" i="1"/>
  <c r="G923" i="1"/>
  <c r="H923" i="1"/>
  <c r="G924" i="1"/>
  <c r="H924" i="1"/>
  <c r="G925" i="1"/>
  <c r="H925" i="1"/>
  <c r="G926" i="1"/>
  <c r="H926" i="1"/>
  <c r="G927" i="1"/>
  <c r="H927" i="1"/>
  <c r="G928" i="1"/>
  <c r="H928" i="1"/>
  <c r="G929" i="1"/>
  <c r="H929" i="1"/>
  <c r="G930" i="1"/>
  <c r="H930" i="1"/>
  <c r="G931" i="1"/>
  <c r="H931" i="1"/>
  <c r="G932" i="1"/>
  <c r="H932" i="1"/>
  <c r="G933" i="1"/>
  <c r="H933" i="1"/>
  <c r="G934" i="1"/>
  <c r="H934" i="1"/>
  <c r="G935" i="1"/>
  <c r="H935" i="1"/>
  <c r="G936" i="1"/>
  <c r="H936" i="1"/>
  <c r="G937" i="1"/>
  <c r="H937" i="1"/>
  <c r="G938" i="1"/>
  <c r="H938" i="1"/>
  <c r="G939" i="1"/>
  <c r="H939" i="1"/>
  <c r="G940" i="1"/>
  <c r="H940" i="1"/>
  <c r="G941" i="1"/>
  <c r="H941" i="1"/>
  <c r="G942" i="1"/>
  <c r="H942" i="1"/>
  <c r="G943" i="1"/>
  <c r="H943" i="1"/>
  <c r="G944" i="1"/>
  <c r="H944" i="1"/>
  <c r="G945" i="1"/>
  <c r="H945" i="1"/>
  <c r="G946" i="1"/>
  <c r="H946" i="1"/>
  <c r="G947" i="1"/>
  <c r="H947" i="1"/>
  <c r="G948" i="1"/>
  <c r="H948" i="1"/>
  <c r="G949" i="1"/>
  <c r="H949" i="1"/>
  <c r="G950" i="1"/>
  <c r="H950" i="1"/>
  <c r="G951" i="1"/>
  <c r="H951" i="1"/>
  <c r="G952" i="1"/>
  <c r="H952" i="1"/>
  <c r="G953" i="1"/>
  <c r="H953" i="1"/>
  <c r="G954" i="1"/>
  <c r="H954" i="1"/>
  <c r="G955" i="1"/>
  <c r="H955" i="1"/>
  <c r="G956" i="1"/>
  <c r="H956" i="1"/>
  <c r="G957" i="1"/>
  <c r="H957" i="1"/>
  <c r="G958" i="1"/>
  <c r="H958" i="1"/>
  <c r="G959" i="1"/>
  <c r="H959" i="1"/>
  <c r="G960" i="1"/>
  <c r="H960" i="1"/>
  <c r="G961" i="1"/>
  <c r="H961" i="1"/>
  <c r="G962" i="1"/>
  <c r="H962" i="1"/>
  <c r="G963" i="1"/>
  <c r="H963" i="1"/>
  <c r="G964" i="1"/>
  <c r="H964" i="1"/>
  <c r="G965" i="1"/>
  <c r="H965" i="1"/>
  <c r="G966" i="1"/>
  <c r="H966" i="1"/>
  <c r="G967" i="1"/>
  <c r="H967" i="1"/>
  <c r="G968" i="1"/>
  <c r="H968" i="1"/>
  <c r="G969" i="1"/>
  <c r="H969" i="1"/>
  <c r="G970" i="1"/>
  <c r="H970" i="1"/>
  <c r="G971" i="1"/>
  <c r="H971" i="1"/>
  <c r="G972" i="1"/>
  <c r="H972" i="1"/>
  <c r="G973" i="1"/>
  <c r="H973" i="1"/>
  <c r="G974" i="1"/>
  <c r="H974" i="1"/>
  <c r="G975" i="1"/>
  <c r="H975" i="1"/>
  <c r="G976" i="1"/>
  <c r="H976" i="1"/>
  <c r="G977" i="1"/>
  <c r="H977" i="1"/>
  <c r="G978" i="1"/>
  <c r="H978" i="1"/>
  <c r="G979" i="1"/>
  <c r="H979" i="1"/>
  <c r="G980" i="1"/>
  <c r="H980" i="1"/>
  <c r="G981" i="1"/>
  <c r="H981" i="1"/>
  <c r="G982" i="1"/>
  <c r="H982" i="1"/>
  <c r="G983" i="1"/>
  <c r="H983" i="1"/>
  <c r="G984" i="1"/>
  <c r="H984" i="1"/>
  <c r="G985" i="1"/>
  <c r="H985" i="1"/>
  <c r="G986" i="1"/>
  <c r="H986" i="1"/>
  <c r="G987" i="1"/>
  <c r="H987" i="1"/>
  <c r="G988" i="1"/>
  <c r="H988" i="1"/>
  <c r="G989" i="1"/>
  <c r="H989" i="1"/>
  <c r="G990" i="1"/>
  <c r="H990" i="1"/>
  <c r="G991" i="1"/>
  <c r="H99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2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2" i="1"/>
</calcChain>
</file>

<file path=xl/sharedStrings.xml><?xml version="1.0" encoding="utf-8"?>
<sst xmlns="http://schemas.openxmlformats.org/spreadsheetml/2006/main" count="1223" uniqueCount="24">
  <si>
    <t>region</t>
  </si>
  <si>
    <t>rank</t>
  </si>
  <si>
    <t>test_statistic</t>
  </si>
  <si>
    <t>p_value</t>
  </si>
  <si>
    <t>File</t>
  </si>
  <si>
    <t>TesteRestricaoRank02b</t>
  </si>
  <si>
    <t>TesteRestricaoRank02c</t>
  </si>
  <si>
    <t>TesteRestricaoRank02a</t>
  </si>
  <si>
    <t>TesteRestricaoRank02d</t>
  </si>
  <si>
    <t>TesteRestricaoRank01</t>
  </si>
  <si>
    <t>Rank_by_EM</t>
  </si>
  <si>
    <t>Capital</t>
  </si>
  <si>
    <t>Pop</t>
  </si>
  <si>
    <t>Pop_Share</t>
  </si>
  <si>
    <t>PIB</t>
  </si>
  <si>
    <t>PIB_Share</t>
  </si>
  <si>
    <t>Check_1</t>
  </si>
  <si>
    <t>Check_2</t>
  </si>
  <si>
    <t>TesteRestricaoRank03a</t>
  </si>
  <si>
    <t>TesteRestricaoRank03b</t>
  </si>
  <si>
    <t>TesteRestricaoRank03c</t>
  </si>
  <si>
    <t>TesteRestricaoRank03d</t>
  </si>
  <si>
    <t>TesteRestricaoRank03e</t>
  </si>
  <si>
    <t>TesteRestricaoRank03f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</si>
</sst>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9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atabase/Config_data/Cadastro%20de%20municipios.xlsx" TargetMode="External"/><Relationship Id="rId2" Type="http://schemas.openxmlformats.org/officeDocument/2006/relationships/externalLinkPath" Target="file:///C:\Users\bteba\Documents\Github\ForecastingFuelPrices\database\Config_data\Cadastro%20de%20municipios.xlsx" TargetMode="External"/><Relationship Id="rId1" Type="http://schemas.openxmlformats.org/officeDocument/2006/relationships/externalLinkPath" Target="/Users/bteba/Documents/Github/ForecastingFuelPrices/database/Config_data/Cadastro%20de%20municipi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randeRegioes"/>
      <sheetName val="Estados"/>
      <sheetName val="Municipios"/>
      <sheetName val="Mapeamento"/>
      <sheetName val="Map_Meso-Ox"/>
      <sheetName val="OxMapping"/>
    </sheetNames>
    <sheetDataSet>
      <sheetData sheetId="0" refreshError="1"/>
      <sheetData sheetId="1" refreshError="1"/>
      <sheetData sheetId="2" refreshError="1"/>
      <sheetData sheetId="3">
        <row r="1">
          <cell r="J1" t="str">
            <v>OxCode</v>
          </cell>
          <cell r="L1" t="str">
            <v>Capital</v>
          </cell>
        </row>
        <row r="2">
          <cell r="J2">
            <v>7</v>
          </cell>
          <cell r="L2">
            <v>0</v>
          </cell>
        </row>
        <row r="3">
          <cell r="J3">
            <v>29</v>
          </cell>
          <cell r="L3">
            <v>0</v>
          </cell>
        </row>
        <row r="4">
          <cell r="J4">
            <v>11</v>
          </cell>
          <cell r="L4">
            <v>0</v>
          </cell>
        </row>
        <row r="5">
          <cell r="J5">
            <v>70</v>
          </cell>
          <cell r="L5">
            <v>0</v>
          </cell>
        </row>
        <row r="6">
          <cell r="J6">
            <v>27</v>
          </cell>
          <cell r="L6">
            <v>0</v>
          </cell>
        </row>
        <row r="7">
          <cell r="J7">
            <v>107</v>
          </cell>
          <cell r="L7">
            <v>0</v>
          </cell>
        </row>
        <row r="8">
          <cell r="J8">
            <v>38</v>
          </cell>
          <cell r="L8">
            <v>0</v>
          </cell>
        </row>
        <row r="9">
          <cell r="J9">
            <v>97</v>
          </cell>
          <cell r="L9">
            <v>0</v>
          </cell>
        </row>
        <row r="10">
          <cell r="J10">
            <v>110</v>
          </cell>
          <cell r="L10">
            <v>0</v>
          </cell>
        </row>
        <row r="11">
          <cell r="J11">
            <v>49</v>
          </cell>
          <cell r="L11">
            <v>0</v>
          </cell>
        </row>
        <row r="12">
          <cell r="J12">
            <v>84</v>
          </cell>
          <cell r="L12">
            <v>0</v>
          </cell>
        </row>
        <row r="13">
          <cell r="J13">
            <v>102</v>
          </cell>
          <cell r="L13">
            <v>0</v>
          </cell>
        </row>
        <row r="14">
          <cell r="J14">
            <v>6</v>
          </cell>
          <cell r="L14">
            <v>0</v>
          </cell>
        </row>
        <row r="15">
          <cell r="J15">
            <v>96</v>
          </cell>
          <cell r="L15">
            <v>0</v>
          </cell>
        </row>
        <row r="16">
          <cell r="J16">
            <v>69</v>
          </cell>
          <cell r="L16">
            <v>0</v>
          </cell>
        </row>
        <row r="17">
          <cell r="J17">
            <v>69</v>
          </cell>
          <cell r="L17">
            <v>0</v>
          </cell>
        </row>
        <row r="18">
          <cell r="J18">
            <v>7</v>
          </cell>
          <cell r="L18">
            <v>0</v>
          </cell>
        </row>
        <row r="19">
          <cell r="J19">
            <v>106</v>
          </cell>
          <cell r="L19">
            <v>0</v>
          </cell>
        </row>
        <row r="20">
          <cell r="J20">
            <v>61</v>
          </cell>
          <cell r="L20">
            <v>0</v>
          </cell>
        </row>
        <row r="21">
          <cell r="J21">
            <v>106</v>
          </cell>
          <cell r="L21">
            <v>0</v>
          </cell>
        </row>
        <row r="22">
          <cell r="J22">
            <v>76</v>
          </cell>
          <cell r="L22">
            <v>0</v>
          </cell>
        </row>
        <row r="23">
          <cell r="J23">
            <v>79</v>
          </cell>
          <cell r="L23">
            <v>0</v>
          </cell>
        </row>
        <row r="24">
          <cell r="J24">
            <v>34</v>
          </cell>
          <cell r="L24">
            <v>1</v>
          </cell>
        </row>
        <row r="25">
          <cell r="J25">
            <v>65</v>
          </cell>
          <cell r="L25">
            <v>0</v>
          </cell>
        </row>
        <row r="26">
          <cell r="J26">
            <v>54</v>
          </cell>
          <cell r="L26">
            <v>0</v>
          </cell>
        </row>
        <row r="27">
          <cell r="J27">
            <v>8</v>
          </cell>
          <cell r="L27">
            <v>0</v>
          </cell>
        </row>
        <row r="28">
          <cell r="J28">
            <v>44</v>
          </cell>
          <cell r="L28">
            <v>0</v>
          </cell>
        </row>
        <row r="29">
          <cell r="J29">
            <v>31</v>
          </cell>
          <cell r="L29">
            <v>0</v>
          </cell>
        </row>
        <row r="30">
          <cell r="J30">
            <v>79</v>
          </cell>
          <cell r="L30">
            <v>0</v>
          </cell>
        </row>
        <row r="31">
          <cell r="J31">
            <v>91</v>
          </cell>
          <cell r="L31">
            <v>0</v>
          </cell>
        </row>
        <row r="32">
          <cell r="J32">
            <v>67</v>
          </cell>
          <cell r="L32">
            <v>0</v>
          </cell>
        </row>
        <row r="33">
          <cell r="J33">
            <v>68</v>
          </cell>
          <cell r="L33">
            <v>0</v>
          </cell>
        </row>
        <row r="34">
          <cell r="J34">
            <v>27</v>
          </cell>
          <cell r="L34">
            <v>0</v>
          </cell>
        </row>
        <row r="35">
          <cell r="J35">
            <v>60</v>
          </cell>
          <cell r="L35">
            <v>0</v>
          </cell>
        </row>
        <row r="36">
          <cell r="J36">
            <v>84</v>
          </cell>
          <cell r="L36">
            <v>0</v>
          </cell>
        </row>
        <row r="37">
          <cell r="J37">
            <v>44</v>
          </cell>
          <cell r="L37">
            <v>0</v>
          </cell>
        </row>
        <row r="38">
          <cell r="J38">
            <v>27</v>
          </cell>
          <cell r="L38">
            <v>0</v>
          </cell>
        </row>
        <row r="39">
          <cell r="J39">
            <v>2</v>
          </cell>
          <cell r="L39">
            <v>0</v>
          </cell>
        </row>
        <row r="40">
          <cell r="J40">
            <v>60</v>
          </cell>
          <cell r="L40">
            <v>0</v>
          </cell>
        </row>
        <row r="41">
          <cell r="J41">
            <v>72</v>
          </cell>
          <cell r="L41">
            <v>0</v>
          </cell>
        </row>
        <row r="42">
          <cell r="J42">
            <v>82</v>
          </cell>
          <cell r="L42">
            <v>0</v>
          </cell>
        </row>
        <row r="43">
          <cell r="J43">
            <v>73</v>
          </cell>
          <cell r="L43">
            <v>0</v>
          </cell>
        </row>
        <row r="44">
          <cell r="J44">
            <v>66</v>
          </cell>
          <cell r="L44">
            <v>0</v>
          </cell>
        </row>
        <row r="45">
          <cell r="J45">
            <v>13</v>
          </cell>
          <cell r="L45">
            <v>0</v>
          </cell>
        </row>
        <row r="46">
          <cell r="J46">
            <v>97</v>
          </cell>
          <cell r="L46">
            <v>0</v>
          </cell>
        </row>
        <row r="47">
          <cell r="J47">
            <v>89</v>
          </cell>
          <cell r="L47">
            <v>0</v>
          </cell>
        </row>
        <row r="48">
          <cell r="J48">
            <v>13</v>
          </cell>
          <cell r="L48">
            <v>0</v>
          </cell>
        </row>
        <row r="49">
          <cell r="J49">
            <v>50</v>
          </cell>
          <cell r="L49">
            <v>0</v>
          </cell>
        </row>
        <row r="50">
          <cell r="J50">
            <v>53</v>
          </cell>
          <cell r="L50">
            <v>0</v>
          </cell>
        </row>
        <row r="51">
          <cell r="J51">
            <v>13</v>
          </cell>
          <cell r="L51">
            <v>0</v>
          </cell>
        </row>
        <row r="52">
          <cell r="J52">
            <v>61</v>
          </cell>
          <cell r="L52">
            <v>0</v>
          </cell>
        </row>
        <row r="53">
          <cell r="J53">
            <v>61</v>
          </cell>
          <cell r="L53">
            <v>0</v>
          </cell>
        </row>
        <row r="54">
          <cell r="J54">
            <v>14</v>
          </cell>
          <cell r="L54">
            <v>0</v>
          </cell>
        </row>
        <row r="55">
          <cell r="J55">
            <v>35</v>
          </cell>
          <cell r="L55">
            <v>0</v>
          </cell>
        </row>
        <row r="56">
          <cell r="J56">
            <v>64</v>
          </cell>
          <cell r="L56">
            <v>0</v>
          </cell>
        </row>
        <row r="57">
          <cell r="J57">
            <v>75</v>
          </cell>
          <cell r="L57">
            <v>0</v>
          </cell>
        </row>
        <row r="58">
          <cell r="J58">
            <v>66</v>
          </cell>
          <cell r="L58">
            <v>0</v>
          </cell>
        </row>
        <row r="59">
          <cell r="J59">
            <v>25</v>
          </cell>
          <cell r="L59">
            <v>0</v>
          </cell>
        </row>
        <row r="60">
          <cell r="J60">
            <v>64</v>
          </cell>
          <cell r="L60">
            <v>0</v>
          </cell>
        </row>
        <row r="61">
          <cell r="J61">
            <v>20</v>
          </cell>
          <cell r="L61">
            <v>0</v>
          </cell>
        </row>
        <row r="62">
          <cell r="J62">
            <v>7</v>
          </cell>
          <cell r="L62">
            <v>1</v>
          </cell>
        </row>
        <row r="63">
          <cell r="J63">
            <v>62</v>
          </cell>
          <cell r="L63">
            <v>0</v>
          </cell>
        </row>
        <row r="64">
          <cell r="J64">
            <v>46</v>
          </cell>
          <cell r="L64">
            <v>1</v>
          </cell>
        </row>
        <row r="65">
          <cell r="J65">
            <v>29</v>
          </cell>
          <cell r="L65">
            <v>0</v>
          </cell>
        </row>
        <row r="66">
          <cell r="J66">
            <v>93</v>
          </cell>
          <cell r="L66">
            <v>0</v>
          </cell>
        </row>
        <row r="67">
          <cell r="J67">
            <v>46</v>
          </cell>
          <cell r="L67">
            <v>0</v>
          </cell>
        </row>
        <row r="68">
          <cell r="J68">
            <v>90</v>
          </cell>
          <cell r="L68">
            <v>0</v>
          </cell>
        </row>
        <row r="69">
          <cell r="J69">
            <v>65</v>
          </cell>
          <cell r="L69">
            <v>0</v>
          </cell>
        </row>
        <row r="70">
          <cell r="J70">
            <v>89</v>
          </cell>
          <cell r="L70">
            <v>0</v>
          </cell>
        </row>
        <row r="71">
          <cell r="J71">
            <v>5</v>
          </cell>
          <cell r="L71">
            <v>1</v>
          </cell>
        </row>
        <row r="72">
          <cell r="J72">
            <v>29</v>
          </cell>
          <cell r="L72">
            <v>0</v>
          </cell>
        </row>
        <row r="73">
          <cell r="J73">
            <v>45</v>
          </cell>
          <cell r="L73">
            <v>0</v>
          </cell>
        </row>
        <row r="74">
          <cell r="J74">
            <v>66</v>
          </cell>
          <cell r="L74">
            <v>0</v>
          </cell>
        </row>
        <row r="75">
          <cell r="J75">
            <v>7</v>
          </cell>
          <cell r="L75">
            <v>0</v>
          </cell>
        </row>
        <row r="76">
          <cell r="J76">
            <v>73</v>
          </cell>
          <cell r="L76">
            <v>0</v>
          </cell>
        </row>
        <row r="77">
          <cell r="J77">
            <v>109</v>
          </cell>
          <cell r="L77">
            <v>1</v>
          </cell>
        </row>
        <row r="78">
          <cell r="J78">
            <v>40</v>
          </cell>
          <cell r="L78">
            <v>0</v>
          </cell>
        </row>
        <row r="79">
          <cell r="J79">
            <v>89</v>
          </cell>
          <cell r="L79">
            <v>0</v>
          </cell>
        </row>
        <row r="80">
          <cell r="J80">
            <v>25</v>
          </cell>
          <cell r="L80">
            <v>0</v>
          </cell>
        </row>
        <row r="81">
          <cell r="J81">
            <v>29</v>
          </cell>
          <cell r="L81">
            <v>0</v>
          </cell>
        </row>
        <row r="82">
          <cell r="J82">
            <v>60</v>
          </cell>
          <cell r="L82">
            <v>0</v>
          </cell>
        </row>
        <row r="83">
          <cell r="J83">
            <v>86</v>
          </cell>
          <cell r="L83">
            <v>0</v>
          </cell>
        </row>
        <row r="84">
          <cell r="J84">
            <v>74</v>
          </cell>
          <cell r="L84">
            <v>0</v>
          </cell>
        </row>
        <row r="85">
          <cell r="J85">
            <v>98</v>
          </cell>
          <cell r="L85">
            <v>0</v>
          </cell>
        </row>
        <row r="86">
          <cell r="J86">
            <v>103</v>
          </cell>
          <cell r="L86">
            <v>0</v>
          </cell>
        </row>
        <row r="87">
          <cell r="J87">
            <v>95</v>
          </cell>
          <cell r="L87">
            <v>0</v>
          </cell>
        </row>
        <row r="88">
          <cell r="J88">
            <v>96</v>
          </cell>
          <cell r="L88">
            <v>0</v>
          </cell>
        </row>
        <row r="89">
          <cell r="J89">
            <v>56</v>
          </cell>
          <cell r="L89">
            <v>0</v>
          </cell>
        </row>
        <row r="90">
          <cell r="J90">
            <v>2</v>
          </cell>
          <cell r="L90">
            <v>0</v>
          </cell>
        </row>
        <row r="91">
          <cell r="J91">
            <v>40</v>
          </cell>
          <cell r="L91">
            <v>0</v>
          </cell>
        </row>
        <row r="92">
          <cell r="J92">
            <v>23</v>
          </cell>
          <cell r="L92">
            <v>0</v>
          </cell>
        </row>
        <row r="93">
          <cell r="J93">
            <v>108</v>
          </cell>
          <cell r="L93">
            <v>0</v>
          </cell>
        </row>
        <row r="94">
          <cell r="J94">
            <v>39</v>
          </cell>
          <cell r="L94">
            <v>0</v>
          </cell>
        </row>
        <row r="95">
          <cell r="J95">
            <v>29</v>
          </cell>
          <cell r="L95">
            <v>0</v>
          </cell>
        </row>
        <row r="96">
          <cell r="J96">
            <v>79</v>
          </cell>
          <cell r="L96">
            <v>0</v>
          </cell>
        </row>
        <row r="97">
          <cell r="J97">
            <v>7</v>
          </cell>
          <cell r="L97">
            <v>0</v>
          </cell>
        </row>
        <row r="98">
          <cell r="J98">
            <v>26</v>
          </cell>
          <cell r="L98">
            <v>0</v>
          </cell>
        </row>
        <row r="99">
          <cell r="J99">
            <v>69</v>
          </cell>
          <cell r="L99">
            <v>0</v>
          </cell>
        </row>
        <row r="100">
          <cell r="J100">
            <v>37</v>
          </cell>
          <cell r="L100">
            <v>0</v>
          </cell>
        </row>
        <row r="101">
          <cell r="J101">
            <v>99</v>
          </cell>
          <cell r="L101">
            <v>1</v>
          </cell>
        </row>
        <row r="102">
          <cell r="J102">
            <v>84</v>
          </cell>
          <cell r="L102">
            <v>0</v>
          </cell>
        </row>
        <row r="103">
          <cell r="J103">
            <v>15</v>
          </cell>
          <cell r="L103">
            <v>0</v>
          </cell>
        </row>
        <row r="104">
          <cell r="J104">
            <v>78</v>
          </cell>
          <cell r="L104">
            <v>0</v>
          </cell>
        </row>
        <row r="105">
          <cell r="J105">
            <v>74</v>
          </cell>
          <cell r="L105">
            <v>0</v>
          </cell>
        </row>
        <row r="106">
          <cell r="J106">
            <v>58</v>
          </cell>
          <cell r="L106">
            <v>0</v>
          </cell>
        </row>
        <row r="107">
          <cell r="J107">
            <v>39</v>
          </cell>
          <cell r="L107">
            <v>0</v>
          </cell>
        </row>
        <row r="108">
          <cell r="J108">
            <v>20</v>
          </cell>
          <cell r="L108">
            <v>0</v>
          </cell>
        </row>
        <row r="109">
          <cell r="J109">
            <v>96</v>
          </cell>
          <cell r="L109">
            <v>0</v>
          </cell>
        </row>
        <row r="110">
          <cell r="J110">
            <v>76</v>
          </cell>
          <cell r="L110">
            <v>0</v>
          </cell>
        </row>
        <row r="111">
          <cell r="J111">
            <v>74</v>
          </cell>
          <cell r="L111">
            <v>0</v>
          </cell>
        </row>
        <row r="112">
          <cell r="J112">
            <v>75</v>
          </cell>
          <cell r="L112">
            <v>0</v>
          </cell>
        </row>
        <row r="113">
          <cell r="J113">
            <v>47</v>
          </cell>
          <cell r="L113">
            <v>0</v>
          </cell>
        </row>
        <row r="114">
          <cell r="J114">
            <v>55</v>
          </cell>
          <cell r="L114">
            <v>0</v>
          </cell>
        </row>
        <row r="115">
          <cell r="J115">
            <v>13</v>
          </cell>
          <cell r="L115">
            <v>0</v>
          </cell>
        </row>
        <row r="116">
          <cell r="J116">
            <v>29</v>
          </cell>
          <cell r="L116">
            <v>0</v>
          </cell>
        </row>
        <row r="117">
          <cell r="J117">
            <v>82</v>
          </cell>
          <cell r="L117">
            <v>0</v>
          </cell>
        </row>
        <row r="118">
          <cell r="J118">
            <v>7</v>
          </cell>
          <cell r="L118">
            <v>0</v>
          </cell>
        </row>
        <row r="119">
          <cell r="J119">
            <v>56</v>
          </cell>
          <cell r="L119">
            <v>0</v>
          </cell>
        </row>
        <row r="120">
          <cell r="J120">
            <v>81</v>
          </cell>
          <cell r="L120">
            <v>0</v>
          </cell>
        </row>
        <row r="121">
          <cell r="J121">
            <v>51</v>
          </cell>
          <cell r="L121">
            <v>0</v>
          </cell>
        </row>
        <row r="122">
          <cell r="J122">
            <v>108</v>
          </cell>
          <cell r="L122">
            <v>0</v>
          </cell>
        </row>
        <row r="123">
          <cell r="J123">
            <v>63</v>
          </cell>
          <cell r="L123">
            <v>0</v>
          </cell>
        </row>
        <row r="124">
          <cell r="J124">
            <v>20</v>
          </cell>
          <cell r="L124">
            <v>0</v>
          </cell>
        </row>
        <row r="125">
          <cell r="J125">
            <v>12</v>
          </cell>
          <cell r="L125">
            <v>0</v>
          </cell>
        </row>
        <row r="126">
          <cell r="J126">
            <v>93</v>
          </cell>
          <cell r="L126">
            <v>0</v>
          </cell>
        </row>
        <row r="127">
          <cell r="J127">
            <v>86</v>
          </cell>
          <cell r="L127">
            <v>0</v>
          </cell>
        </row>
        <row r="128">
          <cell r="J128">
            <v>77</v>
          </cell>
          <cell r="L128">
            <v>0</v>
          </cell>
        </row>
        <row r="129">
          <cell r="J129">
            <v>12</v>
          </cell>
          <cell r="L129">
            <v>0</v>
          </cell>
        </row>
        <row r="130">
          <cell r="J130">
            <v>53</v>
          </cell>
          <cell r="L130">
            <v>0</v>
          </cell>
        </row>
        <row r="131">
          <cell r="J131">
            <v>84</v>
          </cell>
          <cell r="L131">
            <v>0</v>
          </cell>
        </row>
        <row r="132">
          <cell r="J132">
            <v>6</v>
          </cell>
          <cell r="L132">
            <v>0</v>
          </cell>
        </row>
        <row r="133">
          <cell r="J133">
            <v>37</v>
          </cell>
          <cell r="L133">
            <v>0</v>
          </cell>
        </row>
        <row r="134">
          <cell r="J134">
            <v>86</v>
          </cell>
          <cell r="L134">
            <v>0</v>
          </cell>
        </row>
        <row r="135">
          <cell r="J135">
            <v>46</v>
          </cell>
          <cell r="L135">
            <v>0</v>
          </cell>
        </row>
        <row r="136">
          <cell r="J136">
            <v>46</v>
          </cell>
          <cell r="L136">
            <v>0</v>
          </cell>
        </row>
        <row r="137">
          <cell r="J137">
            <v>46</v>
          </cell>
          <cell r="L137">
            <v>0</v>
          </cell>
        </row>
        <row r="138">
          <cell r="J138">
            <v>80</v>
          </cell>
          <cell r="L138">
            <v>0</v>
          </cell>
        </row>
        <row r="139">
          <cell r="J139">
            <v>47</v>
          </cell>
          <cell r="L139">
            <v>0</v>
          </cell>
        </row>
        <row r="140">
          <cell r="J140">
            <v>101</v>
          </cell>
          <cell r="L140">
            <v>0</v>
          </cell>
        </row>
        <row r="141">
          <cell r="J141">
            <v>69</v>
          </cell>
          <cell r="L141">
            <v>0</v>
          </cell>
        </row>
        <row r="142">
          <cell r="J142">
            <v>75</v>
          </cell>
          <cell r="L142">
            <v>0</v>
          </cell>
        </row>
        <row r="143">
          <cell r="J143">
            <v>99</v>
          </cell>
          <cell r="L143">
            <v>0</v>
          </cell>
        </row>
        <row r="144">
          <cell r="J144">
            <v>18</v>
          </cell>
          <cell r="L144">
            <v>0</v>
          </cell>
        </row>
        <row r="145">
          <cell r="J145">
            <v>19</v>
          </cell>
          <cell r="L145">
            <v>0</v>
          </cell>
        </row>
        <row r="146">
          <cell r="J146">
            <v>91</v>
          </cell>
          <cell r="L146">
            <v>0</v>
          </cell>
        </row>
        <row r="147">
          <cell r="J147">
            <v>92</v>
          </cell>
          <cell r="L147">
            <v>0</v>
          </cell>
        </row>
        <row r="148">
          <cell r="J148">
            <v>74</v>
          </cell>
          <cell r="L148">
            <v>0</v>
          </cell>
        </row>
        <row r="149">
          <cell r="J149">
            <v>3</v>
          </cell>
          <cell r="L149">
            <v>0</v>
          </cell>
        </row>
        <row r="150">
          <cell r="J150">
            <v>75</v>
          </cell>
          <cell r="L150">
            <v>0</v>
          </cell>
        </row>
        <row r="151">
          <cell r="J151">
            <v>103</v>
          </cell>
          <cell r="L151">
            <v>1</v>
          </cell>
        </row>
        <row r="152">
          <cell r="J152">
            <v>84</v>
          </cell>
          <cell r="L152">
            <v>1</v>
          </cell>
        </row>
        <row r="153">
          <cell r="J153">
            <v>23</v>
          </cell>
          <cell r="L153">
            <v>0</v>
          </cell>
        </row>
        <row r="154">
          <cell r="J154">
            <v>45</v>
          </cell>
          <cell r="L154">
            <v>0</v>
          </cell>
        </row>
        <row r="155">
          <cell r="J155">
            <v>30</v>
          </cell>
          <cell r="L155">
            <v>0</v>
          </cell>
        </row>
        <row r="156">
          <cell r="J156">
            <v>75</v>
          </cell>
          <cell r="L156">
            <v>0</v>
          </cell>
        </row>
        <row r="157">
          <cell r="J157">
            <v>52</v>
          </cell>
          <cell r="L157">
            <v>0</v>
          </cell>
        </row>
        <row r="158">
          <cell r="J158">
            <v>9</v>
          </cell>
          <cell r="L158">
            <v>0</v>
          </cell>
        </row>
        <row r="159">
          <cell r="J159">
            <v>48</v>
          </cell>
          <cell r="L159">
            <v>0</v>
          </cell>
        </row>
        <row r="160">
          <cell r="J160">
            <v>101</v>
          </cell>
          <cell r="L160">
            <v>0</v>
          </cell>
        </row>
        <row r="161">
          <cell r="J161">
            <v>70</v>
          </cell>
          <cell r="L161">
            <v>0</v>
          </cell>
        </row>
        <row r="162">
          <cell r="J162">
            <v>62</v>
          </cell>
          <cell r="L162">
            <v>0</v>
          </cell>
        </row>
        <row r="163">
          <cell r="J163">
            <v>75</v>
          </cell>
          <cell r="L163">
            <v>0</v>
          </cell>
        </row>
        <row r="164">
          <cell r="J164">
            <v>92</v>
          </cell>
          <cell r="L164">
            <v>0</v>
          </cell>
        </row>
        <row r="165">
          <cell r="J165">
            <v>96</v>
          </cell>
          <cell r="L165">
            <v>0</v>
          </cell>
        </row>
        <row r="166">
          <cell r="J166">
            <v>41</v>
          </cell>
          <cell r="L166">
            <v>0</v>
          </cell>
        </row>
        <row r="167">
          <cell r="J167">
            <v>37</v>
          </cell>
          <cell r="L167">
            <v>0</v>
          </cell>
        </row>
        <row r="168">
          <cell r="J168">
            <v>75</v>
          </cell>
          <cell r="L168">
            <v>0</v>
          </cell>
        </row>
        <row r="169">
          <cell r="J169">
            <v>90</v>
          </cell>
          <cell r="L169">
            <v>1</v>
          </cell>
        </row>
        <row r="170">
          <cell r="J170">
            <v>48</v>
          </cell>
          <cell r="L170">
            <v>0</v>
          </cell>
        </row>
        <row r="171">
          <cell r="J171">
            <v>107</v>
          </cell>
          <cell r="L171">
            <v>0</v>
          </cell>
        </row>
        <row r="172">
          <cell r="J172">
            <v>20</v>
          </cell>
          <cell r="L172">
            <v>1</v>
          </cell>
        </row>
        <row r="173">
          <cell r="J173">
            <v>82</v>
          </cell>
          <cell r="L173">
            <v>0</v>
          </cell>
        </row>
        <row r="174">
          <cell r="J174">
            <v>64</v>
          </cell>
          <cell r="L174">
            <v>0</v>
          </cell>
        </row>
        <row r="175">
          <cell r="J175">
            <v>83</v>
          </cell>
          <cell r="L175">
            <v>0</v>
          </cell>
        </row>
        <row r="176">
          <cell r="J176">
            <v>75</v>
          </cell>
          <cell r="L176">
            <v>0</v>
          </cell>
        </row>
        <row r="177">
          <cell r="J177">
            <v>75</v>
          </cell>
          <cell r="L177">
            <v>0</v>
          </cell>
        </row>
        <row r="178">
          <cell r="J178">
            <v>44</v>
          </cell>
          <cell r="L178">
            <v>0</v>
          </cell>
        </row>
        <row r="179">
          <cell r="J179">
            <v>29</v>
          </cell>
          <cell r="L179">
            <v>0</v>
          </cell>
        </row>
        <row r="180">
          <cell r="J180">
            <v>71</v>
          </cell>
          <cell r="L180">
            <v>0</v>
          </cell>
        </row>
        <row r="181">
          <cell r="J181">
            <v>29</v>
          </cell>
          <cell r="L181">
            <v>0</v>
          </cell>
        </row>
        <row r="182">
          <cell r="J182">
            <v>106</v>
          </cell>
          <cell r="L182">
            <v>1</v>
          </cell>
        </row>
        <row r="183">
          <cell r="J183">
            <v>108</v>
          </cell>
          <cell r="L183">
            <v>0</v>
          </cell>
        </row>
        <row r="184">
          <cell r="J184">
            <v>47</v>
          </cell>
          <cell r="L184">
            <v>0</v>
          </cell>
        </row>
        <row r="185">
          <cell r="J185">
            <v>96</v>
          </cell>
          <cell r="L185">
            <v>0</v>
          </cell>
        </row>
        <row r="186">
          <cell r="J186">
            <v>29</v>
          </cell>
          <cell r="L186">
            <v>0</v>
          </cell>
        </row>
        <row r="187">
          <cell r="J187">
            <v>96</v>
          </cell>
          <cell r="L187">
            <v>0</v>
          </cell>
        </row>
        <row r="188">
          <cell r="J188">
            <v>96</v>
          </cell>
          <cell r="L188">
            <v>0</v>
          </cell>
        </row>
        <row r="189">
          <cell r="J189">
            <v>1</v>
          </cell>
          <cell r="L189">
            <v>0</v>
          </cell>
        </row>
        <row r="190">
          <cell r="J190">
            <v>40</v>
          </cell>
          <cell r="L190">
            <v>0</v>
          </cell>
        </row>
        <row r="191">
          <cell r="J191">
            <v>55</v>
          </cell>
          <cell r="L191">
            <v>0</v>
          </cell>
        </row>
        <row r="192">
          <cell r="J192">
            <v>85</v>
          </cell>
          <cell r="L192">
            <v>0</v>
          </cell>
        </row>
        <row r="193">
          <cell r="J193">
            <v>74</v>
          </cell>
          <cell r="L193">
            <v>0</v>
          </cell>
        </row>
        <row r="194">
          <cell r="J194">
            <v>75</v>
          </cell>
          <cell r="L194">
            <v>0</v>
          </cell>
        </row>
        <row r="195">
          <cell r="J195">
            <v>75</v>
          </cell>
          <cell r="L195">
            <v>0</v>
          </cell>
        </row>
        <row r="196">
          <cell r="J196">
            <v>49</v>
          </cell>
          <cell r="L196">
            <v>0</v>
          </cell>
        </row>
        <row r="197">
          <cell r="J197">
            <v>8</v>
          </cell>
          <cell r="L197">
            <v>0</v>
          </cell>
        </row>
        <row r="198">
          <cell r="J198">
            <v>69</v>
          </cell>
          <cell r="L198">
            <v>0</v>
          </cell>
        </row>
        <row r="199">
          <cell r="J199">
            <v>4</v>
          </cell>
          <cell r="L199">
            <v>0</v>
          </cell>
        </row>
        <row r="200">
          <cell r="J200">
            <v>46</v>
          </cell>
          <cell r="L200">
            <v>0</v>
          </cell>
        </row>
        <row r="201">
          <cell r="J201">
            <v>67</v>
          </cell>
          <cell r="L201">
            <v>0</v>
          </cell>
        </row>
        <row r="202">
          <cell r="J202">
            <v>21</v>
          </cell>
          <cell r="L202">
            <v>0</v>
          </cell>
        </row>
        <row r="203">
          <cell r="J203">
            <v>29</v>
          </cell>
          <cell r="L203">
            <v>0</v>
          </cell>
        </row>
        <row r="204">
          <cell r="J204">
            <v>21</v>
          </cell>
          <cell r="L204">
            <v>0</v>
          </cell>
        </row>
        <row r="205">
          <cell r="J205">
            <v>92</v>
          </cell>
          <cell r="L205">
            <v>0</v>
          </cell>
        </row>
        <row r="206">
          <cell r="J206">
            <v>41</v>
          </cell>
          <cell r="L206">
            <v>0</v>
          </cell>
        </row>
        <row r="207">
          <cell r="J207">
            <v>11</v>
          </cell>
          <cell r="L207">
            <v>0</v>
          </cell>
        </row>
        <row r="208">
          <cell r="J208">
            <v>69</v>
          </cell>
          <cell r="L208">
            <v>0</v>
          </cell>
        </row>
        <row r="209">
          <cell r="J209">
            <v>47</v>
          </cell>
          <cell r="L209">
            <v>0</v>
          </cell>
        </row>
        <row r="210">
          <cell r="J210">
            <v>37</v>
          </cell>
          <cell r="L210">
            <v>0</v>
          </cell>
        </row>
        <row r="211">
          <cell r="J211">
            <v>17</v>
          </cell>
          <cell r="L211">
            <v>0</v>
          </cell>
        </row>
        <row r="212">
          <cell r="J212">
            <v>37</v>
          </cell>
          <cell r="L212">
            <v>0</v>
          </cell>
        </row>
        <row r="213">
          <cell r="J213">
            <v>33</v>
          </cell>
          <cell r="L213">
            <v>0</v>
          </cell>
        </row>
        <row r="214">
          <cell r="J214">
            <v>34</v>
          </cell>
          <cell r="L214">
            <v>0</v>
          </cell>
        </row>
        <row r="215">
          <cell r="J215">
            <v>46</v>
          </cell>
          <cell r="L215">
            <v>0</v>
          </cell>
        </row>
        <row r="216">
          <cell r="J216">
            <v>62</v>
          </cell>
          <cell r="L216">
            <v>0</v>
          </cell>
        </row>
        <row r="217">
          <cell r="J217">
            <v>41</v>
          </cell>
          <cell r="L217">
            <v>0</v>
          </cell>
        </row>
        <row r="218">
          <cell r="J218">
            <v>4</v>
          </cell>
          <cell r="L218">
            <v>0</v>
          </cell>
        </row>
        <row r="219">
          <cell r="J219">
            <v>62</v>
          </cell>
          <cell r="L219">
            <v>0</v>
          </cell>
        </row>
        <row r="220">
          <cell r="J220">
            <v>6</v>
          </cell>
          <cell r="L220">
            <v>0</v>
          </cell>
        </row>
        <row r="221">
          <cell r="J221">
            <v>89</v>
          </cell>
          <cell r="L221">
            <v>0</v>
          </cell>
        </row>
        <row r="222">
          <cell r="J222">
            <v>49</v>
          </cell>
          <cell r="L222">
            <v>0</v>
          </cell>
        </row>
        <row r="223">
          <cell r="J223">
            <v>41</v>
          </cell>
          <cell r="L223">
            <v>0</v>
          </cell>
        </row>
        <row r="224">
          <cell r="J224">
            <v>76</v>
          </cell>
          <cell r="L224">
            <v>0</v>
          </cell>
        </row>
        <row r="225">
          <cell r="J225">
            <v>75</v>
          </cell>
          <cell r="L225">
            <v>0</v>
          </cell>
        </row>
        <row r="226">
          <cell r="J226">
            <v>56</v>
          </cell>
          <cell r="L226">
            <v>0</v>
          </cell>
        </row>
        <row r="227">
          <cell r="J227">
            <v>57</v>
          </cell>
          <cell r="L227">
            <v>0</v>
          </cell>
        </row>
        <row r="228">
          <cell r="J228">
            <v>76</v>
          </cell>
          <cell r="L228">
            <v>0</v>
          </cell>
        </row>
        <row r="229">
          <cell r="J229">
            <v>76</v>
          </cell>
          <cell r="L229">
            <v>0</v>
          </cell>
        </row>
        <row r="230">
          <cell r="J230">
            <v>75</v>
          </cell>
          <cell r="L230">
            <v>0</v>
          </cell>
        </row>
        <row r="231">
          <cell r="J231">
            <v>20</v>
          </cell>
          <cell r="L231">
            <v>0</v>
          </cell>
        </row>
        <row r="232">
          <cell r="J232">
            <v>69</v>
          </cell>
          <cell r="L232">
            <v>0</v>
          </cell>
        </row>
        <row r="233">
          <cell r="J233">
            <v>67</v>
          </cell>
          <cell r="L233">
            <v>0</v>
          </cell>
        </row>
        <row r="234">
          <cell r="J234">
            <v>75</v>
          </cell>
          <cell r="L234">
            <v>0</v>
          </cell>
        </row>
        <row r="235">
          <cell r="J235">
            <v>73</v>
          </cell>
          <cell r="L235">
            <v>0</v>
          </cell>
        </row>
        <row r="236">
          <cell r="J236">
            <v>48</v>
          </cell>
          <cell r="L236">
            <v>0</v>
          </cell>
        </row>
        <row r="237">
          <cell r="J237">
            <v>73</v>
          </cell>
          <cell r="L237">
            <v>0</v>
          </cell>
        </row>
        <row r="238">
          <cell r="J238">
            <v>44</v>
          </cell>
          <cell r="L238">
            <v>0</v>
          </cell>
        </row>
        <row r="239">
          <cell r="J239">
            <v>108</v>
          </cell>
          <cell r="L239">
            <v>0</v>
          </cell>
        </row>
        <row r="240">
          <cell r="J240">
            <v>29</v>
          </cell>
          <cell r="L240">
            <v>0</v>
          </cell>
        </row>
        <row r="241">
          <cell r="J241">
            <v>64</v>
          </cell>
          <cell r="L241">
            <v>0</v>
          </cell>
        </row>
        <row r="242">
          <cell r="J242">
            <v>74</v>
          </cell>
          <cell r="L242">
            <v>0</v>
          </cell>
        </row>
        <row r="243">
          <cell r="J243">
            <v>37</v>
          </cell>
          <cell r="L243">
            <v>0</v>
          </cell>
        </row>
        <row r="244">
          <cell r="J244">
            <v>40</v>
          </cell>
          <cell r="L244">
            <v>0</v>
          </cell>
        </row>
        <row r="245">
          <cell r="J245">
            <v>98</v>
          </cell>
          <cell r="L245">
            <v>0</v>
          </cell>
        </row>
        <row r="246">
          <cell r="J246">
            <v>54</v>
          </cell>
          <cell r="L246">
            <v>0</v>
          </cell>
        </row>
        <row r="247">
          <cell r="J247">
            <v>63</v>
          </cell>
          <cell r="L247">
            <v>0</v>
          </cell>
        </row>
        <row r="248">
          <cell r="J248">
            <v>43</v>
          </cell>
          <cell r="L248">
            <v>0</v>
          </cell>
        </row>
        <row r="249">
          <cell r="J249">
            <v>75</v>
          </cell>
          <cell r="L249">
            <v>0</v>
          </cell>
        </row>
        <row r="250">
          <cell r="J250">
            <v>43</v>
          </cell>
          <cell r="L250">
            <v>0</v>
          </cell>
        </row>
        <row r="251">
          <cell r="J251">
            <v>87</v>
          </cell>
          <cell r="L251">
            <v>0</v>
          </cell>
        </row>
        <row r="252">
          <cell r="J252">
            <v>108</v>
          </cell>
          <cell r="L252">
            <v>0</v>
          </cell>
        </row>
        <row r="253">
          <cell r="J253">
            <v>66</v>
          </cell>
          <cell r="L253">
            <v>0</v>
          </cell>
        </row>
        <row r="254">
          <cell r="J254">
            <v>40</v>
          </cell>
          <cell r="L254">
            <v>0</v>
          </cell>
        </row>
        <row r="255">
          <cell r="J255">
            <v>2</v>
          </cell>
          <cell r="L255">
            <v>0</v>
          </cell>
        </row>
        <row r="256">
          <cell r="J256">
            <v>46</v>
          </cell>
          <cell r="L256">
            <v>0</v>
          </cell>
        </row>
        <row r="257">
          <cell r="J257">
            <v>25</v>
          </cell>
          <cell r="L257">
            <v>1</v>
          </cell>
        </row>
        <row r="258">
          <cell r="J258">
            <v>42</v>
          </cell>
          <cell r="L258">
            <v>0</v>
          </cell>
        </row>
        <row r="259">
          <cell r="J259">
            <v>87</v>
          </cell>
          <cell r="L259">
            <v>0</v>
          </cell>
        </row>
        <row r="260">
          <cell r="J260">
            <v>63</v>
          </cell>
          <cell r="L260">
            <v>0</v>
          </cell>
        </row>
        <row r="261">
          <cell r="J261">
            <v>36</v>
          </cell>
          <cell r="L261">
            <v>0</v>
          </cell>
        </row>
        <row r="262">
          <cell r="J262">
            <v>19</v>
          </cell>
          <cell r="L262">
            <v>0</v>
          </cell>
        </row>
        <row r="263">
          <cell r="J263">
            <v>51</v>
          </cell>
          <cell r="L263">
            <v>0</v>
          </cell>
        </row>
        <row r="264">
          <cell r="J264">
            <v>73</v>
          </cell>
          <cell r="L264">
            <v>0</v>
          </cell>
        </row>
        <row r="265">
          <cell r="J265">
            <v>33</v>
          </cell>
          <cell r="L265">
            <v>0</v>
          </cell>
        </row>
        <row r="266">
          <cell r="J266">
            <v>88</v>
          </cell>
          <cell r="L266">
            <v>0</v>
          </cell>
        </row>
        <row r="267">
          <cell r="J267">
            <v>91</v>
          </cell>
          <cell r="L267">
            <v>0</v>
          </cell>
        </row>
        <row r="268">
          <cell r="J268">
            <v>95</v>
          </cell>
          <cell r="L268">
            <v>0</v>
          </cell>
        </row>
        <row r="269">
          <cell r="J269">
            <v>29</v>
          </cell>
          <cell r="L269">
            <v>0</v>
          </cell>
        </row>
        <row r="270">
          <cell r="J270">
            <v>39</v>
          </cell>
          <cell r="L270">
            <v>0</v>
          </cell>
        </row>
        <row r="271">
          <cell r="J271">
            <v>50</v>
          </cell>
          <cell r="L271">
            <v>0</v>
          </cell>
        </row>
        <row r="272">
          <cell r="J272">
            <v>68</v>
          </cell>
          <cell r="L272">
            <v>0</v>
          </cell>
        </row>
        <row r="273">
          <cell r="J273">
            <v>51</v>
          </cell>
          <cell r="L273">
            <v>0</v>
          </cell>
        </row>
        <row r="274">
          <cell r="J274">
            <v>68</v>
          </cell>
          <cell r="L274">
            <v>0</v>
          </cell>
        </row>
        <row r="275">
          <cell r="J275">
            <v>21</v>
          </cell>
          <cell r="L275">
            <v>0</v>
          </cell>
        </row>
        <row r="276">
          <cell r="J276">
            <v>54</v>
          </cell>
          <cell r="L276">
            <v>0</v>
          </cell>
        </row>
        <row r="277">
          <cell r="J277">
            <v>66</v>
          </cell>
          <cell r="L277">
            <v>0</v>
          </cell>
        </row>
        <row r="278">
          <cell r="J278">
            <v>40</v>
          </cell>
          <cell r="L278">
            <v>0</v>
          </cell>
        </row>
        <row r="279">
          <cell r="J279">
            <v>79</v>
          </cell>
          <cell r="L279">
            <v>0</v>
          </cell>
        </row>
        <row r="280">
          <cell r="J280">
            <v>74</v>
          </cell>
          <cell r="L280">
            <v>0</v>
          </cell>
        </row>
        <row r="281">
          <cell r="J281">
            <v>107</v>
          </cell>
          <cell r="L281">
            <v>0</v>
          </cell>
        </row>
        <row r="282">
          <cell r="J282">
            <v>58</v>
          </cell>
          <cell r="L282">
            <v>0</v>
          </cell>
        </row>
        <row r="283">
          <cell r="J283">
            <v>110</v>
          </cell>
          <cell r="L283">
            <v>1</v>
          </cell>
        </row>
        <row r="284">
          <cell r="J284">
            <v>32</v>
          </cell>
          <cell r="L284">
            <v>1</v>
          </cell>
        </row>
        <row r="285">
          <cell r="J285">
            <v>87</v>
          </cell>
          <cell r="L285">
            <v>0</v>
          </cell>
        </row>
        <row r="286">
          <cell r="J286">
            <v>62</v>
          </cell>
          <cell r="L286">
            <v>0</v>
          </cell>
        </row>
        <row r="287">
          <cell r="J287">
            <v>25</v>
          </cell>
          <cell r="L287">
            <v>0</v>
          </cell>
        </row>
        <row r="288">
          <cell r="J288">
            <v>4</v>
          </cell>
          <cell r="L288">
            <v>0</v>
          </cell>
        </row>
        <row r="289">
          <cell r="J289">
            <v>4</v>
          </cell>
          <cell r="L289">
            <v>1</v>
          </cell>
        </row>
        <row r="290">
          <cell r="J290">
            <v>62</v>
          </cell>
          <cell r="L290">
            <v>0</v>
          </cell>
        </row>
        <row r="291">
          <cell r="J291">
            <v>51</v>
          </cell>
          <cell r="L291">
            <v>0</v>
          </cell>
        </row>
        <row r="292">
          <cell r="J292">
            <v>6</v>
          </cell>
          <cell r="L292">
            <v>0</v>
          </cell>
        </row>
        <row r="293">
          <cell r="J293">
            <v>20</v>
          </cell>
          <cell r="L293">
            <v>0</v>
          </cell>
        </row>
        <row r="294">
          <cell r="J294">
            <v>82</v>
          </cell>
          <cell r="L294">
            <v>0</v>
          </cell>
        </row>
        <row r="295">
          <cell r="J295">
            <v>32</v>
          </cell>
          <cell r="L295">
            <v>0</v>
          </cell>
        </row>
        <row r="296">
          <cell r="J296">
            <v>46</v>
          </cell>
          <cell r="L296">
            <v>0</v>
          </cell>
        </row>
        <row r="297">
          <cell r="J297">
            <v>62</v>
          </cell>
          <cell r="L297">
            <v>0</v>
          </cell>
        </row>
        <row r="298">
          <cell r="J298">
            <v>71</v>
          </cell>
          <cell r="L298">
            <v>0</v>
          </cell>
        </row>
        <row r="299">
          <cell r="J299">
            <v>79</v>
          </cell>
          <cell r="L299">
            <v>0</v>
          </cell>
        </row>
        <row r="300">
          <cell r="J300">
            <v>67</v>
          </cell>
          <cell r="L300">
            <v>0</v>
          </cell>
        </row>
        <row r="301">
          <cell r="J301">
            <v>75</v>
          </cell>
          <cell r="L301">
            <v>0</v>
          </cell>
        </row>
        <row r="302">
          <cell r="J302">
            <v>108</v>
          </cell>
          <cell r="L302">
            <v>0</v>
          </cell>
        </row>
        <row r="303">
          <cell r="J303">
            <v>63</v>
          </cell>
          <cell r="L303">
            <v>0</v>
          </cell>
        </row>
        <row r="304">
          <cell r="J304">
            <v>69</v>
          </cell>
          <cell r="L304">
            <v>0</v>
          </cell>
        </row>
        <row r="305">
          <cell r="J305">
            <v>75</v>
          </cell>
          <cell r="L305">
            <v>0</v>
          </cell>
        </row>
        <row r="306">
          <cell r="J306">
            <v>69</v>
          </cell>
          <cell r="L306">
            <v>0</v>
          </cell>
        </row>
        <row r="307">
          <cell r="J307">
            <v>69</v>
          </cell>
          <cell r="L307">
            <v>0</v>
          </cell>
        </row>
        <row r="308">
          <cell r="J308">
            <v>64</v>
          </cell>
          <cell r="L308">
            <v>0</v>
          </cell>
        </row>
        <row r="309">
          <cell r="J309">
            <v>44</v>
          </cell>
          <cell r="L309">
            <v>0</v>
          </cell>
        </row>
        <row r="310">
          <cell r="J310">
            <v>43</v>
          </cell>
          <cell r="L310">
            <v>0</v>
          </cell>
        </row>
        <row r="311">
          <cell r="J311">
            <v>21</v>
          </cell>
          <cell r="L311">
            <v>0</v>
          </cell>
        </row>
        <row r="312">
          <cell r="J312">
            <v>108</v>
          </cell>
          <cell r="L312">
            <v>0</v>
          </cell>
        </row>
        <row r="313">
          <cell r="J313">
            <v>22</v>
          </cell>
          <cell r="L313">
            <v>0</v>
          </cell>
        </row>
        <row r="314">
          <cell r="J314">
            <v>51</v>
          </cell>
          <cell r="L314">
            <v>0</v>
          </cell>
        </row>
        <row r="315">
          <cell r="J315">
            <v>24</v>
          </cell>
          <cell r="L315">
            <v>1</v>
          </cell>
        </row>
        <row r="316">
          <cell r="J316">
            <v>62</v>
          </cell>
          <cell r="L316">
            <v>0</v>
          </cell>
        </row>
        <row r="317">
          <cell r="J317">
            <v>62</v>
          </cell>
          <cell r="L317">
            <v>0</v>
          </cell>
        </row>
        <row r="318">
          <cell r="J318">
            <v>34</v>
          </cell>
          <cell r="L318">
            <v>0</v>
          </cell>
        </row>
        <row r="319">
          <cell r="J319">
            <v>100</v>
          </cell>
          <cell r="L319">
            <v>0</v>
          </cell>
        </row>
        <row r="320">
          <cell r="J320">
            <v>59</v>
          </cell>
          <cell r="L320">
            <v>0</v>
          </cell>
        </row>
        <row r="321">
          <cell r="J321">
            <v>62</v>
          </cell>
          <cell r="L321">
            <v>0</v>
          </cell>
        </row>
        <row r="322">
          <cell r="J322">
            <v>46</v>
          </cell>
          <cell r="L322">
            <v>0</v>
          </cell>
        </row>
        <row r="323">
          <cell r="J323">
            <v>53</v>
          </cell>
          <cell r="L323">
            <v>0</v>
          </cell>
        </row>
        <row r="324">
          <cell r="J324">
            <v>96</v>
          </cell>
          <cell r="L324">
            <v>0</v>
          </cell>
        </row>
        <row r="325">
          <cell r="J325">
            <v>16</v>
          </cell>
          <cell r="L325">
            <v>0</v>
          </cell>
        </row>
        <row r="326">
          <cell r="J326">
            <v>63</v>
          </cell>
          <cell r="L326">
            <v>0</v>
          </cell>
        </row>
        <row r="327">
          <cell r="J327">
            <v>29</v>
          </cell>
          <cell r="L327">
            <v>0</v>
          </cell>
        </row>
        <row r="328">
          <cell r="J328">
            <v>75</v>
          </cell>
          <cell r="L328">
            <v>0</v>
          </cell>
        </row>
        <row r="329">
          <cell r="J329">
            <v>96</v>
          </cell>
          <cell r="L329">
            <v>0</v>
          </cell>
        </row>
        <row r="330">
          <cell r="J330">
            <v>72</v>
          </cell>
          <cell r="L330">
            <v>0</v>
          </cell>
        </row>
        <row r="331">
          <cell r="J331">
            <v>46</v>
          </cell>
          <cell r="L331">
            <v>0</v>
          </cell>
        </row>
        <row r="332">
          <cell r="J332">
            <v>90</v>
          </cell>
          <cell r="L332">
            <v>0</v>
          </cell>
        </row>
        <row r="333">
          <cell r="J333">
            <v>9</v>
          </cell>
          <cell r="L333">
            <v>1</v>
          </cell>
        </row>
        <row r="334">
          <cell r="J334">
            <v>92</v>
          </cell>
          <cell r="L334">
            <v>0</v>
          </cell>
        </row>
        <row r="335">
          <cell r="J335">
            <v>31</v>
          </cell>
          <cell r="L335">
            <v>0</v>
          </cell>
        </row>
        <row r="336">
          <cell r="J336">
            <v>46</v>
          </cell>
          <cell r="L336">
            <v>0</v>
          </cell>
        </row>
        <row r="337">
          <cell r="J337">
            <v>42</v>
          </cell>
          <cell r="L337">
            <v>0</v>
          </cell>
        </row>
        <row r="338">
          <cell r="J338">
            <v>6</v>
          </cell>
          <cell r="L338">
            <v>0</v>
          </cell>
        </row>
        <row r="339">
          <cell r="J339">
            <v>72</v>
          </cell>
          <cell r="L339">
            <v>0</v>
          </cell>
        </row>
        <row r="340">
          <cell r="J340">
            <v>59</v>
          </cell>
          <cell r="L340">
            <v>0</v>
          </cell>
        </row>
        <row r="341">
          <cell r="J341">
            <v>8</v>
          </cell>
          <cell r="L341">
            <v>0</v>
          </cell>
        </row>
        <row r="342">
          <cell r="J342">
            <v>84</v>
          </cell>
          <cell r="L342">
            <v>0</v>
          </cell>
        </row>
        <row r="343">
          <cell r="J343">
            <v>100</v>
          </cell>
          <cell r="L343">
            <v>0</v>
          </cell>
        </row>
        <row r="344">
          <cell r="J344">
            <v>77</v>
          </cell>
          <cell r="L344">
            <v>0</v>
          </cell>
        </row>
        <row r="345">
          <cell r="J345">
            <v>61</v>
          </cell>
          <cell r="L345">
            <v>0</v>
          </cell>
        </row>
        <row r="346">
          <cell r="J346">
            <v>6</v>
          </cell>
          <cell r="L346">
            <v>0</v>
          </cell>
        </row>
        <row r="347">
          <cell r="J347">
            <v>4</v>
          </cell>
          <cell r="L347">
            <v>0</v>
          </cell>
        </row>
        <row r="348">
          <cell r="J348">
            <v>14</v>
          </cell>
          <cell r="L348">
            <v>0</v>
          </cell>
        </row>
        <row r="349">
          <cell r="J349">
            <v>24</v>
          </cell>
          <cell r="L349">
            <v>0</v>
          </cell>
        </row>
        <row r="350">
          <cell r="J350">
            <v>92</v>
          </cell>
          <cell r="L350">
            <v>0</v>
          </cell>
        </row>
        <row r="351">
          <cell r="J351">
            <v>49</v>
          </cell>
          <cell r="L351">
            <v>0</v>
          </cell>
        </row>
        <row r="352">
          <cell r="J352">
            <v>83</v>
          </cell>
          <cell r="L352">
            <v>0</v>
          </cell>
        </row>
        <row r="353">
          <cell r="J353">
            <v>26</v>
          </cell>
          <cell r="L353">
            <v>0</v>
          </cell>
        </row>
        <row r="354">
          <cell r="J354">
            <v>44</v>
          </cell>
          <cell r="L354">
            <v>0</v>
          </cell>
        </row>
        <row r="355">
          <cell r="J355">
            <v>44</v>
          </cell>
          <cell r="L355">
            <v>0</v>
          </cell>
        </row>
        <row r="356">
          <cell r="J356">
            <v>69</v>
          </cell>
          <cell r="L356">
            <v>0</v>
          </cell>
        </row>
        <row r="357">
          <cell r="J357">
            <v>29</v>
          </cell>
          <cell r="L357">
            <v>0</v>
          </cell>
        </row>
        <row r="358">
          <cell r="J358">
            <v>36</v>
          </cell>
          <cell r="L358">
            <v>0</v>
          </cell>
        </row>
        <row r="359">
          <cell r="J359">
            <v>18</v>
          </cell>
          <cell r="L359">
            <v>0</v>
          </cell>
        </row>
        <row r="360">
          <cell r="J360">
            <v>98</v>
          </cell>
          <cell r="L360">
            <v>0</v>
          </cell>
        </row>
        <row r="361">
          <cell r="J361">
            <v>28</v>
          </cell>
          <cell r="L361">
            <v>0</v>
          </cell>
        </row>
        <row r="362">
          <cell r="J362">
            <v>62</v>
          </cell>
          <cell r="L362">
            <v>0</v>
          </cell>
        </row>
        <row r="363">
          <cell r="J363">
            <v>16</v>
          </cell>
          <cell r="L363">
            <v>0</v>
          </cell>
        </row>
        <row r="364">
          <cell r="J364">
            <v>2</v>
          </cell>
          <cell r="L364">
            <v>0</v>
          </cell>
        </row>
        <row r="365">
          <cell r="J365">
            <v>74</v>
          </cell>
          <cell r="L365">
            <v>0</v>
          </cell>
        </row>
        <row r="366">
          <cell r="J366">
            <v>84</v>
          </cell>
          <cell r="L366">
            <v>0</v>
          </cell>
        </row>
        <row r="367">
          <cell r="J367">
            <v>10</v>
          </cell>
          <cell r="L367">
            <v>0</v>
          </cell>
        </row>
        <row r="368">
          <cell r="J368">
            <v>68</v>
          </cell>
          <cell r="L368">
            <v>0</v>
          </cell>
        </row>
        <row r="369">
          <cell r="J369">
            <v>69</v>
          </cell>
          <cell r="L369">
            <v>0</v>
          </cell>
        </row>
        <row r="370">
          <cell r="J370">
            <v>14</v>
          </cell>
          <cell r="L370">
            <v>0</v>
          </cell>
        </row>
        <row r="371">
          <cell r="J371">
            <v>107</v>
          </cell>
          <cell r="L371">
            <v>0</v>
          </cell>
        </row>
        <row r="372">
          <cell r="J372">
            <v>75</v>
          </cell>
          <cell r="L372">
            <v>0</v>
          </cell>
        </row>
        <row r="373">
          <cell r="J373">
            <v>40</v>
          </cell>
          <cell r="L373">
            <v>0</v>
          </cell>
        </row>
        <row r="374">
          <cell r="J374">
            <v>49</v>
          </cell>
          <cell r="L374">
            <v>0</v>
          </cell>
        </row>
        <row r="375">
          <cell r="J375">
            <v>81</v>
          </cell>
          <cell r="L375">
            <v>0</v>
          </cell>
        </row>
        <row r="376">
          <cell r="J376">
            <v>101</v>
          </cell>
          <cell r="L376">
            <v>0</v>
          </cell>
        </row>
        <row r="377">
          <cell r="J377">
            <v>105</v>
          </cell>
          <cell r="L377">
            <v>0</v>
          </cell>
        </row>
        <row r="378">
          <cell r="J378">
            <v>96</v>
          </cell>
          <cell r="L378">
            <v>1</v>
          </cell>
        </row>
        <row r="379">
          <cell r="J379">
            <v>69</v>
          </cell>
          <cell r="L379">
            <v>0</v>
          </cell>
        </row>
        <row r="380">
          <cell r="J380">
            <v>9</v>
          </cell>
          <cell r="L380">
            <v>0</v>
          </cell>
        </row>
        <row r="381">
          <cell r="J381">
            <v>41</v>
          </cell>
          <cell r="L381">
            <v>0</v>
          </cell>
        </row>
        <row r="382">
          <cell r="J382">
            <v>1</v>
          </cell>
          <cell r="L382">
            <v>1</v>
          </cell>
        </row>
        <row r="383">
          <cell r="J383">
            <v>49</v>
          </cell>
          <cell r="L383">
            <v>0</v>
          </cell>
        </row>
        <row r="384">
          <cell r="J384">
            <v>75</v>
          </cell>
          <cell r="L384">
            <v>0</v>
          </cell>
        </row>
        <row r="385">
          <cell r="J385">
            <v>13</v>
          </cell>
          <cell r="L385">
            <v>0</v>
          </cell>
        </row>
        <row r="386">
          <cell r="J386">
            <v>70</v>
          </cell>
          <cell r="L386">
            <v>0</v>
          </cell>
        </row>
        <row r="387">
          <cell r="J387">
            <v>70</v>
          </cell>
          <cell r="L387">
            <v>0</v>
          </cell>
        </row>
        <row r="388">
          <cell r="J388">
            <v>62</v>
          </cell>
          <cell r="L388">
            <v>0</v>
          </cell>
        </row>
        <row r="389">
          <cell r="J389">
            <v>18</v>
          </cell>
          <cell r="L389">
            <v>0</v>
          </cell>
        </row>
        <row r="390">
          <cell r="J390">
            <v>29</v>
          </cell>
          <cell r="L390">
            <v>1</v>
          </cell>
        </row>
        <row r="391">
          <cell r="J391">
            <v>6</v>
          </cell>
          <cell r="L391">
            <v>0</v>
          </cell>
        </row>
        <row r="392">
          <cell r="J392">
            <v>61</v>
          </cell>
          <cell r="L392">
            <v>0</v>
          </cell>
        </row>
        <row r="393">
          <cell r="J393">
            <v>46</v>
          </cell>
          <cell r="L393">
            <v>0</v>
          </cell>
        </row>
        <row r="394">
          <cell r="J394">
            <v>75</v>
          </cell>
          <cell r="L394">
            <v>0</v>
          </cell>
        </row>
        <row r="395">
          <cell r="J395">
            <v>64</v>
          </cell>
          <cell r="L395">
            <v>0</v>
          </cell>
        </row>
        <row r="396">
          <cell r="J396">
            <v>62</v>
          </cell>
          <cell r="L396">
            <v>0</v>
          </cell>
        </row>
        <row r="397">
          <cell r="J397">
            <v>3</v>
          </cell>
          <cell r="L397">
            <v>1</v>
          </cell>
        </row>
        <row r="398">
          <cell r="J398">
            <v>68</v>
          </cell>
          <cell r="L398">
            <v>0</v>
          </cell>
        </row>
        <row r="399">
          <cell r="J399">
            <v>62</v>
          </cell>
          <cell r="L399">
            <v>1</v>
          </cell>
        </row>
        <row r="400">
          <cell r="J400">
            <v>98</v>
          </cell>
          <cell r="L400">
            <v>0</v>
          </cell>
        </row>
        <row r="401">
          <cell r="J401">
            <v>32</v>
          </cell>
          <cell r="L401">
            <v>0</v>
          </cell>
        </row>
        <row r="402">
          <cell r="J402">
            <v>108</v>
          </cell>
          <cell r="L402">
            <v>0</v>
          </cell>
        </row>
        <row r="403">
          <cell r="J403">
            <v>104</v>
          </cell>
          <cell r="L403">
            <v>0</v>
          </cell>
        </row>
        <row r="404">
          <cell r="J404">
            <v>37</v>
          </cell>
          <cell r="L404">
            <v>0</v>
          </cell>
        </row>
        <row r="405">
          <cell r="J405">
            <v>46</v>
          </cell>
          <cell r="L405">
            <v>0</v>
          </cell>
        </row>
        <row r="406">
          <cell r="J406">
            <v>27</v>
          </cell>
          <cell r="L406">
            <v>0</v>
          </cell>
        </row>
        <row r="407">
          <cell r="J407">
            <v>73</v>
          </cell>
          <cell r="L407">
            <v>0</v>
          </cell>
        </row>
        <row r="408">
          <cell r="J408">
            <v>39</v>
          </cell>
          <cell r="L408">
            <v>1</v>
          </cell>
        </row>
        <row r="409">
          <cell r="J409">
            <v>69</v>
          </cell>
          <cell r="L409">
            <v>0</v>
          </cell>
        </row>
        <row r="410">
          <cell r="J410">
            <v>29</v>
          </cell>
          <cell r="L410">
            <v>0</v>
          </cell>
        </row>
        <row r="411">
          <cell r="J411">
            <v>72</v>
          </cell>
          <cell r="L411">
            <v>0</v>
          </cell>
        </row>
        <row r="412">
          <cell r="J412">
            <v>95</v>
          </cell>
          <cell r="L412">
            <v>0</v>
          </cell>
        </row>
        <row r="413">
          <cell r="J413">
            <v>11</v>
          </cell>
          <cell r="L413">
            <v>0</v>
          </cell>
        </row>
        <row r="414">
          <cell r="J414">
            <v>46</v>
          </cell>
          <cell r="L414">
            <v>0</v>
          </cell>
        </row>
        <row r="415">
          <cell r="J415">
            <v>94</v>
          </cell>
          <cell r="L415">
            <v>0</v>
          </cell>
        </row>
        <row r="416">
          <cell r="J416">
            <v>25</v>
          </cell>
          <cell r="L416">
            <v>0</v>
          </cell>
        </row>
        <row r="417">
          <cell r="J417">
            <v>92</v>
          </cell>
          <cell r="L417">
            <v>0</v>
          </cell>
        </row>
        <row r="418">
          <cell r="J418">
            <v>98</v>
          </cell>
          <cell r="L418">
            <v>0</v>
          </cell>
        </row>
        <row r="419">
          <cell r="J419">
            <v>6</v>
          </cell>
          <cell r="L419">
            <v>0</v>
          </cell>
        </row>
        <row r="420">
          <cell r="J420">
            <v>30</v>
          </cell>
          <cell r="L420">
            <v>0</v>
          </cell>
        </row>
        <row r="421">
          <cell r="J421">
            <v>97</v>
          </cell>
          <cell r="L421">
            <v>0</v>
          </cell>
        </row>
        <row r="422">
          <cell r="J422">
            <v>110</v>
          </cell>
          <cell r="L422">
            <v>0</v>
          </cell>
        </row>
        <row r="423">
          <cell r="J423">
            <v>75</v>
          </cell>
          <cell r="L423">
            <v>0</v>
          </cell>
        </row>
        <row r="424">
          <cell r="J424">
            <v>92</v>
          </cell>
          <cell r="L424">
            <v>0</v>
          </cell>
        </row>
        <row r="425">
          <cell r="J425">
            <v>39</v>
          </cell>
          <cell r="L425">
            <v>0</v>
          </cell>
        </row>
        <row r="426">
          <cell r="J426">
            <v>57</v>
          </cell>
          <cell r="L426">
            <v>0</v>
          </cell>
        </row>
        <row r="427">
          <cell r="J427">
            <v>103</v>
          </cell>
          <cell r="L427">
            <v>0</v>
          </cell>
        </row>
        <row r="428">
          <cell r="J428">
            <v>75</v>
          </cell>
          <cell r="L428">
            <v>0</v>
          </cell>
        </row>
        <row r="429">
          <cell r="J429">
            <v>51</v>
          </cell>
          <cell r="L429">
            <v>0</v>
          </cell>
        </row>
        <row r="430">
          <cell r="J430">
            <v>29</v>
          </cell>
          <cell r="L430">
            <v>0</v>
          </cell>
        </row>
        <row r="431">
          <cell r="J431">
            <v>75</v>
          </cell>
          <cell r="L431">
            <v>0</v>
          </cell>
        </row>
        <row r="432">
          <cell r="J432">
            <v>97</v>
          </cell>
          <cell r="L432">
            <v>0</v>
          </cell>
        </row>
        <row r="433">
          <cell r="J433">
            <v>75</v>
          </cell>
          <cell r="L433">
            <v>0</v>
          </cell>
        </row>
        <row r="434">
          <cell r="J434">
            <v>67</v>
          </cell>
          <cell r="L434">
            <v>0</v>
          </cell>
        </row>
        <row r="435">
          <cell r="J435">
            <v>13</v>
          </cell>
          <cell r="L435">
            <v>0</v>
          </cell>
        </row>
        <row r="436">
          <cell r="J436">
            <v>97</v>
          </cell>
          <cell r="L436">
            <v>0</v>
          </cell>
        </row>
        <row r="437">
          <cell r="J437">
            <v>62</v>
          </cell>
          <cell r="L437">
            <v>0</v>
          </cell>
        </row>
        <row r="438">
          <cell r="J438">
            <v>69</v>
          </cell>
          <cell r="L438">
            <v>0</v>
          </cell>
        </row>
        <row r="439">
          <cell r="J439">
            <v>62</v>
          </cell>
          <cell r="L439">
            <v>0</v>
          </cell>
        </row>
        <row r="440">
          <cell r="J440">
            <v>50</v>
          </cell>
          <cell r="L440">
            <v>0</v>
          </cell>
        </row>
        <row r="441">
          <cell r="J441">
            <v>12</v>
          </cell>
          <cell r="L441">
            <v>0</v>
          </cell>
        </row>
        <row r="442">
          <cell r="J442">
            <v>64</v>
          </cell>
          <cell r="L442">
            <v>0</v>
          </cell>
        </row>
        <row r="443">
          <cell r="J443">
            <v>90</v>
          </cell>
          <cell r="L443">
            <v>0</v>
          </cell>
        </row>
        <row r="444">
          <cell r="J444">
            <v>24</v>
          </cell>
          <cell r="L444">
            <v>0</v>
          </cell>
        </row>
        <row r="445">
          <cell r="J445">
            <v>10</v>
          </cell>
          <cell r="L445">
            <v>0</v>
          </cell>
        </row>
        <row r="446">
          <cell r="J446">
            <v>63</v>
          </cell>
          <cell r="L446">
            <v>0</v>
          </cell>
        </row>
        <row r="447">
          <cell r="J447">
            <v>74</v>
          </cell>
          <cell r="L447">
            <v>0</v>
          </cell>
        </row>
        <row r="448">
          <cell r="J448">
            <v>84</v>
          </cell>
          <cell r="L448">
            <v>0</v>
          </cell>
        </row>
        <row r="449">
          <cell r="J449">
            <v>96</v>
          </cell>
          <cell r="L449">
            <v>0</v>
          </cell>
        </row>
        <row r="450">
          <cell r="J450">
            <v>49</v>
          </cell>
          <cell r="L450">
            <v>0</v>
          </cell>
        </row>
        <row r="451">
          <cell r="J451">
            <v>29</v>
          </cell>
          <cell r="L451">
            <v>0</v>
          </cell>
        </row>
        <row r="452">
          <cell r="J452">
            <v>10</v>
          </cell>
          <cell r="L452">
            <v>1</v>
          </cell>
        </row>
        <row r="453">
          <cell r="J453">
            <v>92</v>
          </cell>
          <cell r="L453">
            <v>0</v>
          </cell>
        </row>
        <row r="454">
          <cell r="J454">
            <v>54</v>
          </cell>
          <cell r="L454">
            <v>0</v>
          </cell>
        </row>
        <row r="455">
          <cell r="J455">
            <v>2</v>
          </cell>
          <cell r="L455">
            <v>0</v>
          </cell>
        </row>
        <row r="456">
          <cell r="J456">
            <v>86</v>
          </cell>
          <cell r="L456">
            <v>0</v>
          </cell>
        </row>
        <row r="457">
          <cell r="J457">
            <v>75</v>
          </cell>
          <cell r="L457">
            <v>1</v>
          </cell>
        </row>
        <row r="458">
          <cell r="J458">
            <v>73</v>
          </cell>
          <cell r="L458">
            <v>0</v>
          </cell>
        </row>
        <row r="459">
          <cell r="J459">
            <v>49</v>
          </cell>
          <cell r="L459">
            <v>0</v>
          </cell>
        </row>
        <row r="460">
          <cell r="J460">
            <v>75</v>
          </cell>
          <cell r="L460">
            <v>0</v>
          </cell>
        </row>
        <row r="461">
          <cell r="J461">
            <v>25</v>
          </cell>
          <cell r="L461">
            <v>0</v>
          </cell>
        </row>
        <row r="462">
          <cell r="J462">
            <v>96</v>
          </cell>
          <cell r="L462">
            <v>0</v>
          </cell>
        </row>
        <row r="463">
          <cell r="J463">
            <v>59</v>
          </cell>
          <cell r="L463">
            <v>0</v>
          </cell>
        </row>
        <row r="464">
          <cell r="J464">
            <v>96</v>
          </cell>
          <cell r="L464">
            <v>0</v>
          </cell>
        </row>
        <row r="465">
          <cell r="J465">
            <v>60</v>
          </cell>
          <cell r="L465">
            <v>0</v>
          </cell>
        </row>
        <row r="466">
          <cell r="J466">
            <v>3</v>
          </cell>
          <cell r="L466">
            <v>0</v>
          </cell>
        </row>
        <row r="467">
          <cell r="J467">
            <v>3</v>
          </cell>
          <cell r="L467">
            <v>0</v>
          </cell>
        </row>
        <row r="468">
          <cell r="J468">
            <v>37</v>
          </cell>
          <cell r="L468">
            <v>0</v>
          </cell>
        </row>
        <row r="469">
          <cell r="J469">
            <v>55</v>
          </cell>
          <cell r="L469">
            <v>0</v>
          </cell>
        </row>
        <row r="470">
          <cell r="J470">
            <v>27</v>
          </cell>
          <cell r="L470">
            <v>0</v>
          </cell>
        </row>
        <row r="471">
          <cell r="J471">
            <v>38</v>
          </cell>
          <cell r="L471">
            <v>0</v>
          </cell>
        </row>
        <row r="472">
          <cell r="J472">
            <v>27</v>
          </cell>
          <cell r="L472">
            <v>0</v>
          </cell>
        </row>
        <row r="473">
          <cell r="J473">
            <v>64</v>
          </cell>
          <cell r="L473">
            <v>0</v>
          </cell>
        </row>
        <row r="474">
          <cell r="J474">
            <v>46</v>
          </cell>
          <cell r="L474">
            <v>0</v>
          </cell>
        </row>
        <row r="475">
          <cell r="J475">
            <v>33</v>
          </cell>
          <cell r="L475">
            <v>0</v>
          </cell>
        </row>
        <row r="476">
          <cell r="J476">
            <v>39</v>
          </cell>
          <cell r="L476">
            <v>0</v>
          </cell>
        </row>
        <row r="477">
          <cell r="J477">
            <v>102</v>
          </cell>
          <cell r="L477">
            <v>0</v>
          </cell>
        </row>
        <row r="478">
          <cell r="J478">
            <v>17</v>
          </cell>
          <cell r="L478">
            <v>0</v>
          </cell>
        </row>
        <row r="479">
          <cell r="J479">
            <v>73</v>
          </cell>
          <cell r="L479">
            <v>0</v>
          </cell>
        </row>
        <row r="480">
          <cell r="J480">
            <v>102</v>
          </cell>
          <cell r="L480">
            <v>0</v>
          </cell>
        </row>
        <row r="481">
          <cell r="J481">
            <v>26</v>
          </cell>
          <cell r="L481">
            <v>0</v>
          </cell>
        </row>
        <row r="482">
          <cell r="J482">
            <v>69</v>
          </cell>
          <cell r="L482">
            <v>0</v>
          </cell>
        </row>
        <row r="483">
          <cell r="J483">
            <v>75</v>
          </cell>
          <cell r="L483">
            <v>0</v>
          </cell>
        </row>
        <row r="484">
          <cell r="J484">
            <v>75</v>
          </cell>
          <cell r="L484">
            <v>0</v>
          </cell>
        </row>
        <row r="485">
          <cell r="J485">
            <v>76</v>
          </cell>
          <cell r="L485">
            <v>0</v>
          </cell>
        </row>
        <row r="486">
          <cell r="J486">
            <v>74</v>
          </cell>
          <cell r="L486">
            <v>0</v>
          </cell>
        </row>
        <row r="487">
          <cell r="J487">
            <v>4</v>
          </cell>
          <cell r="L487">
            <v>0</v>
          </cell>
        </row>
        <row r="488">
          <cell r="J488">
            <v>41</v>
          </cell>
          <cell r="L488">
            <v>0</v>
          </cell>
        </row>
        <row r="489">
          <cell r="J489">
            <v>52</v>
          </cell>
          <cell r="L489">
            <v>0</v>
          </cell>
        </row>
        <row r="490">
          <cell r="J490">
            <v>15</v>
          </cell>
          <cell r="L490">
            <v>1</v>
          </cell>
        </row>
        <row r="491">
          <cell r="J491">
            <v>62</v>
          </cell>
          <cell r="L491">
            <v>0</v>
          </cell>
        </row>
        <row r="492">
          <cell r="J492">
            <v>12</v>
          </cell>
          <cell r="L492">
            <v>0</v>
          </cell>
        </row>
        <row r="493">
          <cell r="J493">
            <v>47</v>
          </cell>
          <cell r="L493">
            <v>0</v>
          </cell>
        </row>
        <row r="494">
          <cell r="J494">
            <v>33</v>
          </cell>
          <cell r="L494">
            <v>0</v>
          </cell>
        </row>
        <row r="495">
          <cell r="J495">
            <v>82</v>
          </cell>
          <cell r="L495">
            <v>0</v>
          </cell>
        </row>
        <row r="496">
          <cell r="J496">
            <v>96</v>
          </cell>
          <cell r="L496">
            <v>0</v>
          </cell>
        </row>
        <row r="497">
          <cell r="J497">
            <v>96</v>
          </cell>
          <cell r="L497">
            <v>0</v>
          </cell>
        </row>
        <row r="498">
          <cell r="J498">
            <v>49</v>
          </cell>
          <cell r="L498">
            <v>0</v>
          </cell>
        </row>
        <row r="499">
          <cell r="J499">
            <v>100</v>
          </cell>
          <cell r="L499">
            <v>0</v>
          </cell>
        </row>
        <row r="500">
          <cell r="J500">
            <v>59</v>
          </cell>
          <cell r="L500">
            <v>0</v>
          </cell>
        </row>
        <row r="501">
          <cell r="J501">
            <v>106</v>
          </cell>
          <cell r="L501">
            <v>0</v>
          </cell>
        </row>
        <row r="502">
          <cell r="J502">
            <v>91</v>
          </cell>
          <cell r="L502">
            <v>0</v>
          </cell>
        </row>
        <row r="503">
          <cell r="J503">
            <v>6</v>
          </cell>
          <cell r="L503">
            <v>0</v>
          </cell>
        </row>
        <row r="504">
          <cell r="J504">
            <v>71</v>
          </cell>
          <cell r="L504">
            <v>0</v>
          </cell>
        </row>
        <row r="505">
          <cell r="J505">
            <v>51</v>
          </cell>
          <cell r="L505">
            <v>0</v>
          </cell>
        </row>
        <row r="506">
          <cell r="J506">
            <v>74</v>
          </cell>
          <cell r="L506">
            <v>0</v>
          </cell>
        </row>
        <row r="507">
          <cell r="J507">
            <v>44</v>
          </cell>
          <cell r="L507">
            <v>0</v>
          </cell>
        </row>
        <row r="508">
          <cell r="J508">
            <v>44</v>
          </cell>
          <cell r="L508">
            <v>0</v>
          </cell>
        </row>
        <row r="509">
          <cell r="J509">
            <v>77</v>
          </cell>
          <cell r="L509">
            <v>0</v>
          </cell>
        </row>
        <row r="510">
          <cell r="J510">
            <v>42</v>
          </cell>
          <cell r="L510">
            <v>0</v>
          </cell>
        </row>
        <row r="511">
          <cell r="J511">
            <v>85</v>
          </cell>
          <cell r="L511">
            <v>0</v>
          </cell>
        </row>
        <row r="512">
          <cell r="J512">
            <v>97</v>
          </cell>
          <cell r="L512">
            <v>0</v>
          </cell>
        </row>
        <row r="513">
          <cell r="J513">
            <v>93</v>
          </cell>
          <cell r="L513">
            <v>0</v>
          </cell>
        </row>
        <row r="514">
          <cell r="J514">
            <v>61</v>
          </cell>
          <cell r="L514">
            <v>0</v>
          </cell>
        </row>
        <row r="515">
          <cell r="J515">
            <v>41</v>
          </cell>
          <cell r="L515">
            <v>0</v>
          </cell>
        </row>
        <row r="516">
          <cell r="J516">
            <v>69</v>
          </cell>
          <cell r="L516">
            <v>0</v>
          </cell>
        </row>
        <row r="517">
          <cell r="J517">
            <v>107</v>
          </cell>
          <cell r="L517">
            <v>0</v>
          </cell>
        </row>
        <row r="518">
          <cell r="J518">
            <v>49</v>
          </cell>
          <cell r="L518">
            <v>0</v>
          </cell>
        </row>
        <row r="519">
          <cell r="J519">
            <v>103</v>
          </cell>
          <cell r="L519">
            <v>0</v>
          </cell>
        </row>
        <row r="520">
          <cell r="J520">
            <v>73</v>
          </cell>
          <cell r="L520">
            <v>0</v>
          </cell>
        </row>
        <row r="521">
          <cell r="J521">
            <v>62</v>
          </cell>
          <cell r="L521">
            <v>0</v>
          </cell>
        </row>
        <row r="522">
          <cell r="J522">
            <v>46</v>
          </cell>
          <cell r="L522">
            <v>0</v>
          </cell>
        </row>
        <row r="523">
          <cell r="J523">
            <v>96</v>
          </cell>
          <cell r="L523">
            <v>0</v>
          </cell>
        </row>
        <row r="524">
          <cell r="J524">
            <v>51</v>
          </cell>
          <cell r="L524">
            <v>0</v>
          </cell>
        </row>
        <row r="525">
          <cell r="J525">
            <v>86</v>
          </cell>
          <cell r="L525">
            <v>0</v>
          </cell>
        </row>
        <row r="526">
          <cell r="J526">
            <v>55</v>
          </cell>
          <cell r="L526">
            <v>0</v>
          </cell>
        </row>
        <row r="527">
          <cell r="J527">
            <v>2</v>
          </cell>
          <cell r="L527">
            <v>0</v>
          </cell>
        </row>
        <row r="528">
          <cell r="J528">
            <v>69</v>
          </cell>
          <cell r="L528">
            <v>0</v>
          </cell>
        </row>
        <row r="529">
          <cell r="J529">
            <v>55</v>
          </cell>
          <cell r="L529">
            <v>1</v>
          </cell>
        </row>
        <row r="530">
          <cell r="J530">
            <v>40</v>
          </cell>
          <cell r="L530">
            <v>0</v>
          </cell>
        </row>
        <row r="531">
          <cell r="J531">
            <v>29</v>
          </cell>
          <cell r="L531">
            <v>0</v>
          </cell>
        </row>
        <row r="532">
          <cell r="J532">
            <v>61</v>
          </cell>
          <cell r="L532">
            <v>0</v>
          </cell>
        </row>
        <row r="533">
          <cell r="J533">
            <v>73</v>
          </cell>
          <cell r="L533">
            <v>0</v>
          </cell>
        </row>
        <row r="534">
          <cell r="J534">
            <v>63</v>
          </cell>
          <cell r="L534">
            <v>0</v>
          </cell>
        </row>
        <row r="535">
          <cell r="J535">
            <v>86</v>
          </cell>
          <cell r="L535">
            <v>0</v>
          </cell>
        </row>
        <row r="536">
          <cell r="J536">
            <v>6</v>
          </cell>
          <cell r="L536">
            <v>0</v>
          </cell>
        </row>
        <row r="537">
          <cell r="J537">
            <v>110</v>
          </cell>
          <cell r="L537">
            <v>0</v>
          </cell>
        </row>
        <row r="538">
          <cell r="J538">
            <v>5</v>
          </cell>
          <cell r="L538">
            <v>0</v>
          </cell>
        </row>
        <row r="539">
          <cell r="J539">
            <v>5</v>
          </cell>
          <cell r="L539">
            <v>0</v>
          </cell>
        </row>
        <row r="540">
          <cell r="J540">
            <v>110</v>
          </cell>
          <cell r="L540">
            <v>0</v>
          </cell>
        </row>
        <row r="541">
          <cell r="J541">
            <v>5</v>
          </cell>
          <cell r="L541">
            <v>0</v>
          </cell>
        </row>
        <row r="542">
          <cell r="J542">
            <v>110</v>
          </cell>
          <cell r="L542">
            <v>0</v>
          </cell>
        </row>
        <row r="543">
          <cell r="J543">
            <v>4</v>
          </cell>
          <cell r="L543">
            <v>0</v>
          </cell>
        </row>
        <row r="544">
          <cell r="J544">
            <v>5</v>
          </cell>
          <cell r="L544">
            <v>0</v>
          </cell>
        </row>
        <row r="545">
          <cell r="J545">
            <v>110</v>
          </cell>
          <cell r="L545">
            <v>0</v>
          </cell>
        </row>
        <row r="546">
          <cell r="J546">
            <v>3</v>
          </cell>
          <cell r="L546">
            <v>0</v>
          </cell>
        </row>
        <row r="547">
          <cell r="J547">
            <v>36</v>
          </cell>
          <cell r="L547">
            <v>0</v>
          </cell>
        </row>
        <row r="548">
          <cell r="J548">
            <v>48</v>
          </cell>
          <cell r="L548">
            <v>0</v>
          </cell>
        </row>
        <row r="549">
          <cell r="J549">
            <v>98</v>
          </cell>
          <cell r="L549">
            <v>0</v>
          </cell>
        </row>
        <row r="550">
          <cell r="J550">
            <v>85</v>
          </cell>
          <cell r="L550">
            <v>0</v>
          </cell>
        </row>
        <row r="551">
          <cell r="J551">
            <v>48</v>
          </cell>
          <cell r="L551">
            <v>0</v>
          </cell>
        </row>
        <row r="552">
          <cell r="J552">
            <v>80</v>
          </cell>
          <cell r="L552">
            <v>0</v>
          </cell>
        </row>
        <row r="553">
          <cell r="J553">
            <v>58</v>
          </cell>
          <cell r="L553">
            <v>0</v>
          </cell>
        </row>
        <row r="554">
          <cell r="J554">
            <v>110</v>
          </cell>
          <cell r="L554">
            <v>0</v>
          </cell>
        </row>
        <row r="555">
          <cell r="J555">
            <v>110</v>
          </cell>
          <cell r="L555">
            <v>0</v>
          </cell>
        </row>
        <row r="556">
          <cell r="J556">
            <v>3</v>
          </cell>
          <cell r="L556">
            <v>0</v>
          </cell>
        </row>
        <row r="557">
          <cell r="J557">
            <v>75</v>
          </cell>
          <cell r="L557">
            <v>0</v>
          </cell>
        </row>
        <row r="558">
          <cell r="J558">
            <v>107</v>
          </cell>
          <cell r="L558">
            <v>0</v>
          </cell>
        </row>
        <row r="559">
          <cell r="J559">
            <v>61</v>
          </cell>
          <cell r="L559">
            <v>0</v>
          </cell>
        </row>
        <row r="560">
          <cell r="J560">
            <v>97</v>
          </cell>
          <cell r="L560">
            <v>0</v>
          </cell>
        </row>
      </sheetData>
      <sheetData sheetId="4">
        <row r="1">
          <cell r="C1" t="str">
            <v>Ox</v>
          </cell>
          <cell r="D1" t="str">
            <v>Pop</v>
          </cell>
          <cell r="E1" t="str">
            <v>PIB</v>
          </cell>
        </row>
        <row r="2">
          <cell r="C2">
            <v>7</v>
          </cell>
          <cell r="D2">
            <v>1942216</v>
          </cell>
          <cell r="E2">
            <v>8916638.9570000004</v>
          </cell>
        </row>
        <row r="3">
          <cell r="C3">
            <v>29</v>
          </cell>
          <cell r="D3">
            <v>3943430</v>
          </cell>
          <cell r="E3">
            <v>60927721.637000002</v>
          </cell>
        </row>
        <row r="4">
          <cell r="C4">
            <v>11</v>
          </cell>
          <cell r="D4">
            <v>1481848</v>
          </cell>
          <cell r="E4">
            <v>8635888.9399999976</v>
          </cell>
        </row>
        <row r="5">
          <cell r="C5">
            <v>70</v>
          </cell>
          <cell r="D5">
            <v>898810</v>
          </cell>
          <cell r="E5">
            <v>14422093.111000001</v>
          </cell>
        </row>
        <row r="6">
          <cell r="C6">
            <v>27</v>
          </cell>
          <cell r="D6">
            <v>1058208</v>
          </cell>
          <cell r="E6">
            <v>5868762.6710000001</v>
          </cell>
        </row>
        <row r="7">
          <cell r="C7">
            <v>107</v>
          </cell>
          <cell r="D7">
            <v>1411685</v>
          </cell>
          <cell r="E7">
            <v>10708214.310999999</v>
          </cell>
        </row>
        <row r="8">
          <cell r="C8">
            <v>38</v>
          </cell>
          <cell r="D8">
            <v>1674176</v>
          </cell>
          <cell r="E8">
            <v>10080852.539000003</v>
          </cell>
        </row>
        <row r="9">
          <cell r="C9">
            <v>97</v>
          </cell>
          <cell r="D9">
            <v>824804</v>
          </cell>
          <cell r="E9">
            <v>10644821.648</v>
          </cell>
        </row>
        <row r="10">
          <cell r="C10">
            <v>110</v>
          </cell>
          <cell r="D10">
            <v>784389</v>
          </cell>
          <cell r="E10">
            <v>7024791.9689999996</v>
          </cell>
        </row>
        <row r="11">
          <cell r="C11">
            <v>49</v>
          </cell>
          <cell r="D11">
            <v>2602172</v>
          </cell>
          <cell r="E11">
            <v>39023958.798</v>
          </cell>
        </row>
        <row r="12">
          <cell r="C12">
            <v>84</v>
          </cell>
          <cell r="D12">
            <v>3831872</v>
          </cell>
          <cell r="E12">
            <v>106208375.09199998</v>
          </cell>
        </row>
        <row r="13">
          <cell r="C13">
            <v>102</v>
          </cell>
          <cell r="D13">
            <v>1063910</v>
          </cell>
          <cell r="E13">
            <v>17775991.092</v>
          </cell>
        </row>
        <row r="14">
          <cell r="C14">
            <v>6</v>
          </cell>
          <cell r="D14">
            <v>503265</v>
          </cell>
          <cell r="E14">
            <v>3595297.2860000003</v>
          </cell>
        </row>
        <row r="15">
          <cell r="C15">
            <v>96</v>
          </cell>
          <cell r="D15">
            <v>5045974</v>
          </cell>
          <cell r="E15">
            <v>120807688.24700002</v>
          </cell>
        </row>
        <row r="16">
          <cell r="C16">
            <v>69</v>
          </cell>
          <cell r="D16">
            <v>4167639</v>
          </cell>
          <cell r="E16">
            <v>131695023.67199999</v>
          </cell>
        </row>
        <row r="17">
          <cell r="C17">
            <v>7</v>
          </cell>
          <cell r="D17">
            <v>2610387</v>
          </cell>
          <cell r="E17">
            <v>29028871.867999997</v>
          </cell>
        </row>
        <row r="18">
          <cell r="C18">
            <v>106</v>
          </cell>
          <cell r="D18">
            <v>3415179</v>
          </cell>
          <cell r="E18">
            <v>56874615.403000027</v>
          </cell>
        </row>
        <row r="19">
          <cell r="C19">
            <v>61</v>
          </cell>
          <cell r="D19">
            <v>1156122</v>
          </cell>
          <cell r="E19">
            <v>38029857.358999997</v>
          </cell>
        </row>
        <row r="20">
          <cell r="C20">
            <v>76</v>
          </cell>
          <cell r="D20">
            <v>889795</v>
          </cell>
          <cell r="E20">
            <v>13903987.510000002</v>
          </cell>
        </row>
        <row r="21">
          <cell r="C21">
            <v>79</v>
          </cell>
          <cell r="D21">
            <v>2210574</v>
          </cell>
          <cell r="E21">
            <v>37421976.248999976</v>
          </cell>
        </row>
        <row r="22">
          <cell r="C22">
            <v>34</v>
          </cell>
          <cell r="D22">
            <v>1541809</v>
          </cell>
          <cell r="E22">
            <v>19779129.360999987</v>
          </cell>
        </row>
        <row r="23">
          <cell r="C23">
            <v>65</v>
          </cell>
          <cell r="D23">
            <v>749158</v>
          </cell>
          <cell r="E23">
            <v>13134340.673999997</v>
          </cell>
        </row>
        <row r="24">
          <cell r="C24">
            <v>54</v>
          </cell>
          <cell r="D24">
            <v>634157</v>
          </cell>
          <cell r="E24">
            <v>11774354.231000002</v>
          </cell>
        </row>
        <row r="25">
          <cell r="C25">
            <v>8</v>
          </cell>
          <cell r="D25">
            <v>946700</v>
          </cell>
          <cell r="E25">
            <v>9539146.7650000006</v>
          </cell>
        </row>
        <row r="26">
          <cell r="C26">
            <v>44</v>
          </cell>
          <cell r="D26">
            <v>2337105</v>
          </cell>
          <cell r="E26">
            <v>51462247.607000001</v>
          </cell>
        </row>
        <row r="27">
          <cell r="C27">
            <v>31</v>
          </cell>
          <cell r="D27">
            <v>664715</v>
          </cell>
          <cell r="E27">
            <v>3827720.9470000006</v>
          </cell>
        </row>
        <row r="28">
          <cell r="C28">
            <v>91</v>
          </cell>
          <cell r="D28">
            <v>1004258</v>
          </cell>
          <cell r="E28">
            <v>17048218.756000005</v>
          </cell>
        </row>
        <row r="29">
          <cell r="C29">
            <v>67</v>
          </cell>
          <cell r="D29">
            <v>883643</v>
          </cell>
          <cell r="E29">
            <v>19197255.919999998</v>
          </cell>
        </row>
        <row r="30">
          <cell r="C30">
            <v>68</v>
          </cell>
          <cell r="D30">
            <v>1502103</v>
          </cell>
          <cell r="E30">
            <v>39093178.510999985</v>
          </cell>
        </row>
        <row r="31">
          <cell r="C31">
            <v>60</v>
          </cell>
          <cell r="D31">
            <v>805702</v>
          </cell>
          <cell r="E31">
            <v>26814899.524</v>
          </cell>
        </row>
        <row r="32">
          <cell r="C32">
            <v>2</v>
          </cell>
          <cell r="D32">
            <v>1054975</v>
          </cell>
          <cell r="E32">
            <v>12730337.390000004</v>
          </cell>
        </row>
        <row r="33">
          <cell r="C33">
            <v>72</v>
          </cell>
          <cell r="D33">
            <v>590485</v>
          </cell>
          <cell r="E33">
            <v>9510568.5320000015</v>
          </cell>
        </row>
        <row r="34">
          <cell r="C34">
            <v>82</v>
          </cell>
          <cell r="D34">
            <v>1302065</v>
          </cell>
          <cell r="E34">
            <v>24238658.219000004</v>
          </cell>
        </row>
        <row r="35">
          <cell r="C35">
            <v>73</v>
          </cell>
          <cell r="D35">
            <v>2928573</v>
          </cell>
          <cell r="E35">
            <v>87742650.393999979</v>
          </cell>
        </row>
        <row r="36">
          <cell r="C36">
            <v>66</v>
          </cell>
          <cell r="D36">
            <v>1574779</v>
          </cell>
          <cell r="E36">
            <v>31453300.824999988</v>
          </cell>
        </row>
        <row r="37">
          <cell r="C37">
            <v>13</v>
          </cell>
          <cell r="D37">
            <v>942815</v>
          </cell>
          <cell r="E37">
            <v>3982611.5840000012</v>
          </cell>
        </row>
        <row r="38">
          <cell r="C38">
            <v>89</v>
          </cell>
          <cell r="D38">
            <v>1736988</v>
          </cell>
          <cell r="E38">
            <v>42552945.90299999</v>
          </cell>
        </row>
        <row r="39">
          <cell r="C39">
            <v>13</v>
          </cell>
          <cell r="D39">
            <v>330411</v>
          </cell>
          <cell r="E39">
            <v>3762069.1349999993</v>
          </cell>
        </row>
        <row r="40">
          <cell r="C40">
            <v>50</v>
          </cell>
          <cell r="D40">
            <v>591512</v>
          </cell>
          <cell r="E40">
            <v>6831877.3000000007</v>
          </cell>
        </row>
        <row r="41">
          <cell r="C41">
            <v>53</v>
          </cell>
          <cell r="D41">
            <v>453936</v>
          </cell>
          <cell r="E41">
            <v>5057570.1929999981</v>
          </cell>
        </row>
        <row r="42">
          <cell r="C42">
            <v>14</v>
          </cell>
          <cell r="D42">
            <v>652723</v>
          </cell>
          <cell r="E42">
            <v>2880083.5820000004</v>
          </cell>
        </row>
        <row r="43">
          <cell r="C43">
            <v>35</v>
          </cell>
          <cell r="D43">
            <v>650635</v>
          </cell>
          <cell r="E43">
            <v>7766683.2070000004</v>
          </cell>
        </row>
        <row r="44">
          <cell r="C44">
            <v>64</v>
          </cell>
          <cell r="D44">
            <v>2591206</v>
          </cell>
          <cell r="E44">
            <v>53174232.318000004</v>
          </cell>
        </row>
        <row r="45">
          <cell r="C45">
            <v>75</v>
          </cell>
          <cell r="D45">
            <v>23103690</v>
          </cell>
          <cell r="E45">
            <v>772475186.1880002</v>
          </cell>
        </row>
        <row r="46">
          <cell r="C46">
            <v>25</v>
          </cell>
          <cell r="D46">
            <v>1517934</v>
          </cell>
          <cell r="E46">
            <v>17314577.763999999</v>
          </cell>
        </row>
        <row r="47">
          <cell r="C47">
            <v>20</v>
          </cell>
          <cell r="D47">
            <v>1071109</v>
          </cell>
          <cell r="E47">
            <v>6133806.7740000011</v>
          </cell>
        </row>
        <row r="48">
          <cell r="C48">
            <v>62</v>
          </cell>
          <cell r="D48">
            <v>12984553</v>
          </cell>
          <cell r="E48">
            <v>309290106.06</v>
          </cell>
        </row>
        <row r="49">
          <cell r="C49">
            <v>46</v>
          </cell>
          <cell r="D49">
            <v>6728960</v>
          </cell>
          <cell r="E49">
            <v>160497850.21500003</v>
          </cell>
        </row>
        <row r="50">
          <cell r="C50">
            <v>29</v>
          </cell>
          <cell r="D50">
            <v>2374834</v>
          </cell>
          <cell r="E50">
            <v>14557465.205000004</v>
          </cell>
        </row>
        <row r="51">
          <cell r="C51">
            <v>93</v>
          </cell>
          <cell r="D51">
            <v>1141749</v>
          </cell>
          <cell r="E51">
            <v>32706059.153000001</v>
          </cell>
        </row>
        <row r="52">
          <cell r="C52">
            <v>90</v>
          </cell>
          <cell r="D52">
            <v>1130542</v>
          </cell>
          <cell r="E52">
            <v>23242132.751000002</v>
          </cell>
        </row>
        <row r="53">
          <cell r="C53">
            <v>5</v>
          </cell>
          <cell r="D53">
            <v>414263</v>
          </cell>
          <cell r="E53">
            <v>5800677.745000001</v>
          </cell>
        </row>
        <row r="54">
          <cell r="C54">
            <v>45</v>
          </cell>
          <cell r="D54">
            <v>440317</v>
          </cell>
          <cell r="E54">
            <v>5426710.0180000002</v>
          </cell>
        </row>
        <row r="55">
          <cell r="C55">
            <v>109</v>
          </cell>
          <cell r="D55">
            <v>2977216</v>
          </cell>
          <cell r="E55">
            <v>144174101.595</v>
          </cell>
        </row>
        <row r="56">
          <cell r="C56">
            <v>40</v>
          </cell>
          <cell r="D56">
            <v>2639246</v>
          </cell>
          <cell r="E56">
            <v>15415117.168000001</v>
          </cell>
        </row>
        <row r="57">
          <cell r="C57">
            <v>86</v>
          </cell>
          <cell r="D57">
            <v>1273154</v>
          </cell>
          <cell r="E57">
            <v>27541697.338999987</v>
          </cell>
        </row>
        <row r="58">
          <cell r="C58">
            <v>74</v>
          </cell>
          <cell r="D58">
            <v>2475879</v>
          </cell>
          <cell r="E58">
            <v>67986370.204999998</v>
          </cell>
        </row>
        <row r="59">
          <cell r="C59">
            <v>98</v>
          </cell>
          <cell r="D59">
            <v>953474</v>
          </cell>
          <cell r="E59">
            <v>14202965.209000001</v>
          </cell>
        </row>
        <row r="60">
          <cell r="C60">
            <v>103</v>
          </cell>
          <cell r="D60">
            <v>1105132</v>
          </cell>
          <cell r="E60">
            <v>18674357.932999998</v>
          </cell>
        </row>
        <row r="61">
          <cell r="C61">
            <v>95</v>
          </cell>
          <cell r="D61">
            <v>825139</v>
          </cell>
          <cell r="E61">
            <v>16781375.802999992</v>
          </cell>
        </row>
        <row r="62">
          <cell r="C62">
            <v>56</v>
          </cell>
          <cell r="D62">
            <v>621044</v>
          </cell>
          <cell r="E62">
            <v>11162086.012</v>
          </cell>
        </row>
        <row r="63">
          <cell r="C63">
            <v>23</v>
          </cell>
          <cell r="D63">
            <v>406257</v>
          </cell>
          <cell r="E63">
            <v>3691987.696</v>
          </cell>
        </row>
        <row r="64">
          <cell r="C64">
            <v>108</v>
          </cell>
          <cell r="D64">
            <v>1420451</v>
          </cell>
          <cell r="E64">
            <v>32144841.452</v>
          </cell>
        </row>
        <row r="65">
          <cell r="C65">
            <v>39</v>
          </cell>
          <cell r="D65">
            <v>4677138</v>
          </cell>
          <cell r="E65">
            <v>77140855.590000018</v>
          </cell>
        </row>
        <row r="66">
          <cell r="C66">
            <v>26</v>
          </cell>
          <cell r="D66">
            <v>1265968</v>
          </cell>
          <cell r="E66">
            <v>9476491.2980000004</v>
          </cell>
        </row>
        <row r="67">
          <cell r="C67">
            <v>37</v>
          </cell>
          <cell r="D67">
            <v>2343965</v>
          </cell>
          <cell r="E67">
            <v>16764558.842</v>
          </cell>
        </row>
        <row r="68">
          <cell r="C68">
            <v>99</v>
          </cell>
          <cell r="D68">
            <v>1092574</v>
          </cell>
          <cell r="E68">
            <v>18750560.691</v>
          </cell>
        </row>
        <row r="69">
          <cell r="C69">
            <v>15</v>
          </cell>
          <cell r="D69">
            <v>1499994</v>
          </cell>
          <cell r="E69">
            <v>13262106.084999999</v>
          </cell>
        </row>
        <row r="70">
          <cell r="C70">
            <v>78</v>
          </cell>
          <cell r="D70">
            <v>339787</v>
          </cell>
          <cell r="E70">
            <v>5050796.9730000012</v>
          </cell>
        </row>
        <row r="71">
          <cell r="C71">
            <v>58</v>
          </cell>
          <cell r="D71">
            <v>913748</v>
          </cell>
          <cell r="E71">
            <v>63956725.106999993</v>
          </cell>
        </row>
        <row r="72">
          <cell r="C72">
            <v>47</v>
          </cell>
          <cell r="D72">
            <v>1712448</v>
          </cell>
          <cell r="E72">
            <v>21285723.407999996</v>
          </cell>
        </row>
        <row r="73">
          <cell r="C73">
            <v>55</v>
          </cell>
          <cell r="D73">
            <v>2264560</v>
          </cell>
          <cell r="E73">
            <v>57316274.108999997</v>
          </cell>
        </row>
        <row r="74">
          <cell r="C74">
            <v>81</v>
          </cell>
          <cell r="D74">
            <v>745755</v>
          </cell>
          <cell r="E74">
            <v>13945258.418</v>
          </cell>
        </row>
        <row r="75">
          <cell r="C75">
            <v>51</v>
          </cell>
          <cell r="D75">
            <v>2307748</v>
          </cell>
          <cell r="E75">
            <v>27426333.195</v>
          </cell>
        </row>
        <row r="76">
          <cell r="C76">
            <v>63</v>
          </cell>
          <cell r="D76">
            <v>1695678</v>
          </cell>
          <cell r="E76">
            <v>30532917.297000002</v>
          </cell>
        </row>
        <row r="77">
          <cell r="C77">
            <v>20</v>
          </cell>
          <cell r="D77">
            <v>3727678</v>
          </cell>
          <cell r="E77">
            <v>49982117.111999996</v>
          </cell>
        </row>
        <row r="78">
          <cell r="C78">
            <v>12</v>
          </cell>
          <cell r="D78">
            <v>1347539</v>
          </cell>
          <cell r="E78">
            <v>5873304.953999999</v>
          </cell>
        </row>
        <row r="79">
          <cell r="C79">
            <v>77</v>
          </cell>
          <cell r="D79">
            <v>720402</v>
          </cell>
          <cell r="E79">
            <v>9194897.3280000016</v>
          </cell>
        </row>
        <row r="80">
          <cell r="C80">
            <v>6</v>
          </cell>
          <cell r="D80">
            <v>1882450</v>
          </cell>
          <cell r="E80">
            <v>32393275.581</v>
          </cell>
        </row>
        <row r="81">
          <cell r="C81">
            <v>80</v>
          </cell>
          <cell r="D81">
            <v>564509</v>
          </cell>
          <cell r="E81">
            <v>6950237.4519999987</v>
          </cell>
        </row>
        <row r="82">
          <cell r="C82">
            <v>101</v>
          </cell>
          <cell r="D82">
            <v>258748</v>
          </cell>
          <cell r="E82">
            <v>3341316.1030000001</v>
          </cell>
        </row>
        <row r="83">
          <cell r="C83">
            <v>18</v>
          </cell>
          <cell r="D83">
            <v>901880</v>
          </cell>
          <cell r="E83">
            <v>4044685.7059999998</v>
          </cell>
        </row>
        <row r="84">
          <cell r="C84">
            <v>19</v>
          </cell>
          <cell r="D84">
            <v>921936</v>
          </cell>
          <cell r="E84">
            <v>5554704.8190000001</v>
          </cell>
        </row>
        <row r="85">
          <cell r="C85">
            <v>92</v>
          </cell>
          <cell r="D85">
            <v>2016819</v>
          </cell>
          <cell r="E85">
            <v>38673171.649999991</v>
          </cell>
        </row>
        <row r="86">
          <cell r="C86">
            <v>3</v>
          </cell>
          <cell r="D86">
            <v>225028</v>
          </cell>
          <cell r="E86">
            <v>1616720.2560000003</v>
          </cell>
        </row>
        <row r="87">
          <cell r="C87">
            <v>30</v>
          </cell>
          <cell r="D87">
            <v>457754</v>
          </cell>
          <cell r="E87">
            <v>1893456.9080000003</v>
          </cell>
        </row>
        <row r="88">
          <cell r="C88">
            <v>52</v>
          </cell>
          <cell r="D88">
            <v>731314</v>
          </cell>
          <cell r="E88">
            <v>3868211.1620000005</v>
          </cell>
        </row>
        <row r="89">
          <cell r="C89">
            <v>9</v>
          </cell>
          <cell r="D89">
            <v>586202</v>
          </cell>
          <cell r="E89">
            <v>6865669.324000001</v>
          </cell>
        </row>
        <row r="90">
          <cell r="C90">
            <v>48</v>
          </cell>
          <cell r="D90">
            <v>1037952</v>
          </cell>
          <cell r="E90">
            <v>13165917.971000003</v>
          </cell>
        </row>
        <row r="91">
          <cell r="C91">
            <v>101</v>
          </cell>
          <cell r="D91">
            <v>909610</v>
          </cell>
          <cell r="E91">
            <v>13991157.697000002</v>
          </cell>
        </row>
        <row r="92">
          <cell r="C92">
            <v>41</v>
          </cell>
          <cell r="D92">
            <v>2152636</v>
          </cell>
          <cell r="E92">
            <v>20079159.194999989</v>
          </cell>
        </row>
        <row r="93">
          <cell r="C93">
            <v>83</v>
          </cell>
          <cell r="D93">
            <v>526611</v>
          </cell>
          <cell r="E93">
            <v>8650944.9389999975</v>
          </cell>
        </row>
        <row r="94">
          <cell r="C94">
            <v>71</v>
          </cell>
          <cell r="D94">
            <v>465826</v>
          </cell>
          <cell r="E94">
            <v>8458163.2550000008</v>
          </cell>
        </row>
        <row r="95">
          <cell r="C95">
            <v>29</v>
          </cell>
          <cell r="D95">
            <v>1387731</v>
          </cell>
          <cell r="E95">
            <v>9896289.617999997</v>
          </cell>
        </row>
        <row r="96">
          <cell r="C96">
            <v>1</v>
          </cell>
          <cell r="D96">
            <v>732304</v>
          </cell>
          <cell r="E96">
            <v>11177549.491999999</v>
          </cell>
        </row>
        <row r="97">
          <cell r="C97">
            <v>85</v>
          </cell>
          <cell r="D97">
            <v>568532</v>
          </cell>
          <cell r="E97">
            <v>8012965.8400000008</v>
          </cell>
        </row>
        <row r="98">
          <cell r="C98">
            <v>4</v>
          </cell>
          <cell r="D98">
            <v>322628</v>
          </cell>
          <cell r="E98">
            <v>1375786.3629999999</v>
          </cell>
        </row>
        <row r="99">
          <cell r="C99">
            <v>21</v>
          </cell>
          <cell r="D99">
            <v>387939</v>
          </cell>
          <cell r="E99">
            <v>2090007.3930000004</v>
          </cell>
        </row>
        <row r="100">
          <cell r="C100">
            <v>17</v>
          </cell>
          <cell r="D100">
            <v>1401342</v>
          </cell>
          <cell r="E100">
            <v>7872066.4740000004</v>
          </cell>
        </row>
        <row r="101">
          <cell r="C101">
            <v>33</v>
          </cell>
          <cell r="D101">
            <v>479055</v>
          </cell>
          <cell r="E101">
            <v>3355725.531</v>
          </cell>
        </row>
        <row r="102">
          <cell r="C102">
            <v>4</v>
          </cell>
          <cell r="D102">
            <v>3148018</v>
          </cell>
          <cell r="E102">
            <v>57525612.445000008</v>
          </cell>
        </row>
        <row r="103">
          <cell r="C103">
            <v>76</v>
          </cell>
          <cell r="D103">
            <v>496883</v>
          </cell>
          <cell r="E103">
            <v>6290141.5049999999</v>
          </cell>
        </row>
        <row r="104">
          <cell r="C104">
            <v>57</v>
          </cell>
          <cell r="D104">
            <v>324890</v>
          </cell>
          <cell r="E104">
            <v>3934116.7009999999</v>
          </cell>
        </row>
        <row r="105">
          <cell r="C105">
            <v>43</v>
          </cell>
          <cell r="D105">
            <v>1715407</v>
          </cell>
          <cell r="E105">
            <v>13261610.156999998</v>
          </cell>
        </row>
        <row r="106">
          <cell r="C106">
            <v>87</v>
          </cell>
          <cell r="D106">
            <v>1349666</v>
          </cell>
          <cell r="E106">
            <v>35844266.702999994</v>
          </cell>
        </row>
        <row r="107">
          <cell r="C107">
            <v>42</v>
          </cell>
          <cell r="D107">
            <v>392607</v>
          </cell>
          <cell r="E107">
            <v>5700623.4750000006</v>
          </cell>
        </row>
        <row r="108">
          <cell r="C108">
            <v>36</v>
          </cell>
          <cell r="D108">
            <v>1059124</v>
          </cell>
          <cell r="E108">
            <v>7172320.8350000009</v>
          </cell>
        </row>
        <row r="109">
          <cell r="C109">
            <v>88</v>
          </cell>
          <cell r="D109">
            <v>415945</v>
          </cell>
          <cell r="E109">
            <v>7670800.362999999</v>
          </cell>
        </row>
        <row r="110">
          <cell r="C110">
            <v>21</v>
          </cell>
          <cell r="D110">
            <v>551779</v>
          </cell>
          <cell r="E110">
            <v>3658911.003000001</v>
          </cell>
        </row>
        <row r="111">
          <cell r="C111">
            <v>110</v>
          </cell>
          <cell r="D111">
            <v>718048</v>
          </cell>
          <cell r="E111">
            <v>7744509.3509999998</v>
          </cell>
        </row>
        <row r="112">
          <cell r="C112">
            <v>32</v>
          </cell>
          <cell r="D112">
            <v>2236494</v>
          </cell>
          <cell r="E112">
            <v>21411860.005000003</v>
          </cell>
        </row>
        <row r="113">
          <cell r="C113">
            <v>22</v>
          </cell>
          <cell r="D113">
            <v>897859</v>
          </cell>
          <cell r="E113">
            <v>9360849.8990000021</v>
          </cell>
        </row>
        <row r="114">
          <cell r="C114">
            <v>24</v>
          </cell>
          <cell r="D114">
            <v>1709847</v>
          </cell>
          <cell r="E114">
            <v>20945106.313999999</v>
          </cell>
        </row>
        <row r="115">
          <cell r="C115">
            <v>100</v>
          </cell>
          <cell r="D115">
            <v>421454</v>
          </cell>
          <cell r="E115">
            <v>11470281.550000001</v>
          </cell>
        </row>
        <row r="116">
          <cell r="C116">
            <v>59</v>
          </cell>
          <cell r="D116">
            <v>491956</v>
          </cell>
          <cell r="E116">
            <v>8641599.4649999999</v>
          </cell>
        </row>
        <row r="117">
          <cell r="C117">
            <v>16</v>
          </cell>
          <cell r="D117">
            <v>533294</v>
          </cell>
          <cell r="E117">
            <v>2661090.8970000003</v>
          </cell>
        </row>
        <row r="118">
          <cell r="C118">
            <v>26</v>
          </cell>
          <cell r="D118">
            <v>901336</v>
          </cell>
          <cell r="E118">
            <v>5155122.2780000018</v>
          </cell>
        </row>
        <row r="119">
          <cell r="C119">
            <v>28</v>
          </cell>
          <cell r="D119">
            <v>646133</v>
          </cell>
          <cell r="E119">
            <v>5939521.3450000007</v>
          </cell>
        </row>
        <row r="120">
          <cell r="C120">
            <v>10</v>
          </cell>
          <cell r="D120">
            <v>2731981</v>
          </cell>
          <cell r="E120">
            <v>24055758.495999996</v>
          </cell>
        </row>
        <row r="121">
          <cell r="C121">
            <v>105</v>
          </cell>
          <cell r="D121">
            <v>309003</v>
          </cell>
          <cell r="E121">
            <v>4764891.0579999993</v>
          </cell>
        </row>
        <row r="122">
          <cell r="C122">
            <v>3</v>
          </cell>
          <cell r="D122">
            <v>591659</v>
          </cell>
          <cell r="E122">
            <v>6725635.2670000009</v>
          </cell>
        </row>
        <row r="123">
          <cell r="C123">
            <v>104</v>
          </cell>
          <cell r="D123">
            <v>493066</v>
          </cell>
          <cell r="E123">
            <v>11022544.396</v>
          </cell>
        </row>
        <row r="124">
          <cell r="C124">
            <v>94</v>
          </cell>
          <cell r="D124">
            <v>561172</v>
          </cell>
          <cell r="E124">
            <v>8339794.9900000012</v>
          </cell>
        </row>
        <row r="125">
          <cell r="C125">
            <v>52</v>
          </cell>
          <cell r="D125">
            <v>400018</v>
          </cell>
          <cell r="E125">
            <v>3172354.4260000009</v>
          </cell>
        </row>
        <row r="126">
          <cell r="C126">
            <v>85</v>
          </cell>
          <cell r="D126">
            <v>432613</v>
          </cell>
          <cell r="E126">
            <v>5531144.1859999998</v>
          </cell>
        </row>
        <row r="127">
          <cell r="C127">
            <v>110</v>
          </cell>
          <cell r="D127">
            <v>541165</v>
          </cell>
          <cell r="E127">
            <v>1938687.2150000001</v>
          </cell>
        </row>
        <row r="128">
          <cell r="C128">
            <v>5</v>
          </cell>
          <cell r="D128">
            <v>99966</v>
          </cell>
          <cell r="E128">
            <v>838472.73200000008</v>
          </cell>
        </row>
        <row r="129">
          <cell r="C129">
            <v>110</v>
          </cell>
          <cell r="D129">
            <v>64247</v>
          </cell>
          <cell r="E129">
            <v>493286</v>
          </cell>
        </row>
        <row r="130">
          <cell r="C130">
            <v>-1</v>
          </cell>
          <cell r="D130">
            <v>135782</v>
          </cell>
          <cell r="E130">
            <v>493112.19500000007</v>
          </cell>
        </row>
        <row r="131">
          <cell r="C131">
            <v>-1</v>
          </cell>
          <cell r="D131">
            <v>395239</v>
          </cell>
          <cell r="E131">
            <v>1482611.6809999999</v>
          </cell>
        </row>
        <row r="132">
          <cell r="C132">
            <v>-1</v>
          </cell>
          <cell r="D132">
            <v>302013</v>
          </cell>
          <cell r="E132">
            <v>3741465.81</v>
          </cell>
        </row>
        <row r="133">
          <cell r="C133">
            <v>-1</v>
          </cell>
          <cell r="D133">
            <v>341410</v>
          </cell>
          <cell r="E133">
            <v>5386596.142</v>
          </cell>
        </row>
        <row r="134">
          <cell r="C134">
            <v>-1</v>
          </cell>
          <cell r="D134">
            <v>227715</v>
          </cell>
          <cell r="E134">
            <v>2777011.9919999996</v>
          </cell>
        </row>
        <row r="135">
          <cell r="C135">
            <v>-1</v>
          </cell>
          <cell r="D135">
            <v>461035</v>
          </cell>
          <cell r="E135">
            <v>2186558.4590000003</v>
          </cell>
        </row>
        <row r="136">
          <cell r="C136">
            <v>-1</v>
          </cell>
          <cell r="D136">
            <v>314177</v>
          </cell>
          <cell r="E136">
            <v>1576300.3539999996</v>
          </cell>
        </row>
        <row r="137">
          <cell r="C137">
            <v>-1</v>
          </cell>
          <cell r="D137">
            <v>244915</v>
          </cell>
          <cell r="E137">
            <v>3270038.3310000002</v>
          </cell>
        </row>
        <row r="138">
          <cell r="C138">
            <v>-1</v>
          </cell>
          <cell r="D138">
            <v>526169</v>
          </cell>
          <cell r="E138">
            <v>3465868.571</v>
          </cell>
        </row>
      </sheetData>
      <sheetData sheetId="5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3CF60-FA2F-4C17-8F10-2AEED6EC332E}">
  <dimension ref="A1:M1211"/>
  <sheetViews>
    <sheetView tabSelected="1" workbookViewId="0">
      <pane ySplit="1" topLeftCell="A2" activePane="bottomLeft" state="frozen"/>
      <selection pane="bottomLeft" activeCell="F16" sqref="F16"/>
    </sheetView>
  </sheetViews>
  <sheetFormatPr defaultRowHeight="15" x14ac:dyDescent="0.25"/>
  <cols>
    <col min="5" max="5" width="30.7109375" bestFit="1" customWidth="1"/>
    <col min="6" max="6" width="30.7109375" customWidth="1"/>
    <col min="10" max="10" width="12.7109375" bestFit="1" customWidth="1"/>
    <col min="11" max="11" width="12.5703125" bestFit="1" customWidth="1"/>
    <col min="12" max="12" width="13.85546875" bestFit="1" customWidth="1"/>
    <col min="13" max="13" width="11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16</v>
      </c>
      <c r="H1" t="s">
        <v>17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</row>
    <row r="2" spans="1:13" x14ac:dyDescent="0.25">
      <c r="A2">
        <v>1</v>
      </c>
      <c r="B2">
        <v>-1</v>
      </c>
      <c r="C2">
        <v>28.125</v>
      </c>
      <c r="D2">
        <v>0.15079999999999999</v>
      </c>
      <c r="E2" t="s">
        <v>5</v>
      </c>
      <c r="F2">
        <v>2</v>
      </c>
      <c r="G2">
        <f>COUNTIF(E:E,E2)</f>
        <v>110</v>
      </c>
      <c r="H2">
        <f>COUNTIFS(E:E,E2,A:A,A2,D:D,D2)</f>
        <v>1</v>
      </c>
      <c r="I2" t="e">
        <f>SUMIF([1]Mapeamento!$J:$J,A2,[1]Mapeamento!$L:$L)</f>
        <v>#VALUE!</v>
      </c>
      <c r="J2" s="1" t="e">
        <f>SUMIF('[1]Map_Meso-Ox'!$C:$C,A2,'[1]Map_Meso-Ox'!$D:$D)</f>
        <v>#VALUE!</v>
      </c>
      <c r="K2" s="2" t="e">
        <f>J2/203401269</f>
        <v>#VALUE!</v>
      </c>
      <c r="L2" s="1" t="e">
        <f>SUMIF('[1]Map_Meso-Ox'!$C:$C,A2,'[1]Map_Meso-Ox'!$E:$E)</f>
        <v>#VALUE!</v>
      </c>
      <c r="M2" s="2" t="e">
        <f>L2/3868725997.715</f>
        <v>#VALUE!</v>
      </c>
    </row>
    <row r="3" spans="1:13" x14ac:dyDescent="0.25">
      <c r="A3">
        <v>2</v>
      </c>
      <c r="B3">
        <v>-1</v>
      </c>
      <c r="C3">
        <v>50.918999999999997</v>
      </c>
      <c r="D3">
        <v>0</v>
      </c>
      <c r="E3" t="s">
        <v>5</v>
      </c>
      <c r="F3">
        <v>2</v>
      </c>
      <c r="G3">
        <f>COUNTIF(E:E,E3)</f>
        <v>110</v>
      </c>
      <c r="H3">
        <f>COUNTIFS(E:E,E3,A:A,A3,D:D,D3)</f>
        <v>1</v>
      </c>
      <c r="I3" t="e">
        <f>SUMIF([1]Mapeamento!$J:$J,A3,[1]Mapeamento!$L:$L)</f>
        <v>#VALUE!</v>
      </c>
      <c r="J3" s="1" t="e">
        <f>SUMIF('[1]Map_Meso-Ox'!$C:$C,A3,'[1]Map_Meso-Ox'!$D:$D)</f>
        <v>#VALUE!</v>
      </c>
      <c r="K3" s="2" t="e">
        <f t="shared" ref="K3:K66" si="0">J3/203401269</f>
        <v>#VALUE!</v>
      </c>
      <c r="L3" s="1" t="e">
        <f>SUMIF('[1]Map_Meso-Ox'!$C:$C,A3,'[1]Map_Meso-Ox'!$E:$E)</f>
        <v>#VALUE!</v>
      </c>
      <c r="M3" s="2" t="e">
        <f t="shared" ref="M3:M66" si="1">L3/3868725997.715</f>
        <v>#VALUE!</v>
      </c>
    </row>
    <row r="4" spans="1:13" x14ac:dyDescent="0.25">
      <c r="A4">
        <v>3</v>
      </c>
      <c r="B4">
        <v>-1</v>
      </c>
      <c r="C4">
        <v>40.179000000000002</v>
      </c>
      <c r="D4">
        <v>3.0200000000000001E-2</v>
      </c>
      <c r="E4" t="s">
        <v>5</v>
      </c>
      <c r="F4">
        <v>1</v>
      </c>
      <c r="G4">
        <f>COUNTIF(E:E,E4)</f>
        <v>110</v>
      </c>
      <c r="H4">
        <f>COUNTIFS(E:E,E4,A:A,A4,D:D,D4)</f>
        <v>1</v>
      </c>
      <c r="I4" t="e">
        <f>SUMIF([1]Mapeamento!$J:$J,A4,[1]Mapeamento!$L:$L)</f>
        <v>#VALUE!</v>
      </c>
      <c r="J4" s="1" t="e">
        <f>SUMIF('[1]Map_Meso-Ox'!$C:$C,A4,'[1]Map_Meso-Ox'!$D:$D)</f>
        <v>#VALUE!</v>
      </c>
      <c r="K4" s="2" t="e">
        <f t="shared" si="0"/>
        <v>#VALUE!</v>
      </c>
      <c r="L4" s="1" t="e">
        <f>SUMIF('[1]Map_Meso-Ox'!$C:$C,A4,'[1]Map_Meso-Ox'!$E:$E)</f>
        <v>#VALUE!</v>
      </c>
      <c r="M4" s="2" t="e">
        <f t="shared" si="1"/>
        <v>#VALUE!</v>
      </c>
    </row>
    <row r="5" spans="1:13" x14ac:dyDescent="0.25">
      <c r="A5">
        <v>4</v>
      </c>
      <c r="B5">
        <v>-1</v>
      </c>
      <c r="C5">
        <v>37.195</v>
      </c>
      <c r="D5">
        <v>4.02E-2</v>
      </c>
      <c r="E5" t="s">
        <v>5</v>
      </c>
      <c r="F5">
        <v>1</v>
      </c>
      <c r="G5">
        <f>COUNTIF(E:E,E5)</f>
        <v>110</v>
      </c>
      <c r="H5">
        <f>COUNTIFS(E:E,E5,A:A,A5,D:D,D5)</f>
        <v>1</v>
      </c>
      <c r="I5" t="e">
        <f>SUMIF([1]Mapeamento!$J:$J,A5,[1]Mapeamento!$L:$L)</f>
        <v>#VALUE!</v>
      </c>
      <c r="J5" s="1" t="e">
        <f>SUMIF('[1]Map_Meso-Ox'!$C:$C,A5,'[1]Map_Meso-Ox'!$D:$D)</f>
        <v>#VALUE!</v>
      </c>
      <c r="K5" s="2" t="e">
        <f t="shared" si="0"/>
        <v>#VALUE!</v>
      </c>
      <c r="L5" s="1" t="e">
        <f>SUMIF('[1]Map_Meso-Ox'!$C:$C,A5,'[1]Map_Meso-Ox'!$E:$E)</f>
        <v>#VALUE!</v>
      </c>
      <c r="M5" s="2" t="e">
        <f t="shared" si="1"/>
        <v>#VALUE!</v>
      </c>
    </row>
    <row r="6" spans="1:13" x14ac:dyDescent="0.25">
      <c r="A6">
        <v>5</v>
      </c>
      <c r="B6">
        <v>-1</v>
      </c>
      <c r="C6">
        <v>25.007999999999999</v>
      </c>
      <c r="D6">
        <v>0.41210000000000002</v>
      </c>
      <c r="E6" t="s">
        <v>5</v>
      </c>
      <c r="F6">
        <v>0</v>
      </c>
      <c r="G6">
        <f>COUNTIF(E:E,E6)</f>
        <v>110</v>
      </c>
      <c r="H6">
        <f>COUNTIFS(E:E,E6,A:A,A6,D:D,D6)</f>
        <v>1</v>
      </c>
      <c r="I6" t="e">
        <f>SUMIF([1]Mapeamento!$J:$J,A6,[1]Mapeamento!$L:$L)</f>
        <v>#VALUE!</v>
      </c>
      <c r="J6" s="1" t="e">
        <f>SUMIF('[1]Map_Meso-Ox'!$C:$C,A6,'[1]Map_Meso-Ox'!$D:$D)</f>
        <v>#VALUE!</v>
      </c>
      <c r="K6" s="2" t="e">
        <f t="shared" si="0"/>
        <v>#VALUE!</v>
      </c>
      <c r="L6" s="1" t="e">
        <f>SUMIF('[1]Map_Meso-Ox'!$C:$C,A6,'[1]Map_Meso-Ox'!$E:$E)</f>
        <v>#VALUE!</v>
      </c>
      <c r="M6" s="2" t="e">
        <f t="shared" si="1"/>
        <v>#VALUE!</v>
      </c>
    </row>
    <row r="7" spans="1:13" x14ac:dyDescent="0.25">
      <c r="A7">
        <v>6</v>
      </c>
      <c r="B7">
        <v>-1</v>
      </c>
      <c r="C7">
        <v>13.757</v>
      </c>
      <c r="D7">
        <v>0.71860000000000002</v>
      </c>
      <c r="E7" t="s">
        <v>5</v>
      </c>
      <c r="F7">
        <v>1</v>
      </c>
      <c r="G7">
        <f>COUNTIF(E:E,E7)</f>
        <v>110</v>
      </c>
      <c r="H7">
        <f>COUNTIFS(E:E,E7,A:A,A7,D:D,D7)</f>
        <v>1</v>
      </c>
      <c r="I7" t="e">
        <f>SUMIF([1]Mapeamento!$J:$J,A7,[1]Mapeamento!$L:$L)</f>
        <v>#VALUE!</v>
      </c>
      <c r="J7" s="1" t="e">
        <f>SUMIF('[1]Map_Meso-Ox'!$C:$C,A7,'[1]Map_Meso-Ox'!$D:$D)</f>
        <v>#VALUE!</v>
      </c>
      <c r="K7" s="2" t="e">
        <f t="shared" si="0"/>
        <v>#VALUE!</v>
      </c>
      <c r="L7" s="1" t="e">
        <f>SUMIF('[1]Map_Meso-Ox'!$C:$C,A7,'[1]Map_Meso-Ox'!$E:$E)</f>
        <v>#VALUE!</v>
      </c>
      <c r="M7" s="2" t="e">
        <f t="shared" si="1"/>
        <v>#VALUE!</v>
      </c>
    </row>
    <row r="8" spans="1:13" x14ac:dyDescent="0.25">
      <c r="A8">
        <v>7</v>
      </c>
      <c r="B8">
        <v>-1</v>
      </c>
      <c r="C8">
        <v>23.164999999999999</v>
      </c>
      <c r="D8">
        <v>0.26629999999999998</v>
      </c>
      <c r="E8" t="s">
        <v>5</v>
      </c>
      <c r="F8">
        <v>1</v>
      </c>
      <c r="G8">
        <f>COUNTIF(E:E,E8)</f>
        <v>110</v>
      </c>
      <c r="H8">
        <f>COUNTIFS(E:E,E8,A:A,A8,D:D,D8)</f>
        <v>1</v>
      </c>
      <c r="I8" t="e">
        <f>SUMIF([1]Mapeamento!$J:$J,A8,[1]Mapeamento!$L:$L)</f>
        <v>#VALUE!</v>
      </c>
      <c r="J8" s="1" t="e">
        <f>SUMIF('[1]Map_Meso-Ox'!$C:$C,A8,'[1]Map_Meso-Ox'!$D:$D)</f>
        <v>#VALUE!</v>
      </c>
      <c r="K8" s="2" t="e">
        <f t="shared" si="0"/>
        <v>#VALUE!</v>
      </c>
      <c r="L8" s="1" t="e">
        <f>SUMIF('[1]Map_Meso-Ox'!$C:$C,A8,'[1]Map_Meso-Ox'!$E:$E)</f>
        <v>#VALUE!</v>
      </c>
      <c r="M8" s="2" t="e">
        <f t="shared" si="1"/>
        <v>#VALUE!</v>
      </c>
    </row>
    <row r="9" spans="1:13" x14ac:dyDescent="0.25">
      <c r="A9">
        <v>8</v>
      </c>
      <c r="B9">
        <v>-1</v>
      </c>
      <c r="C9">
        <v>29.859000000000002</v>
      </c>
      <c r="D9">
        <v>0.13070000000000001</v>
      </c>
      <c r="E9" t="s">
        <v>5</v>
      </c>
      <c r="F9">
        <v>0</v>
      </c>
      <c r="G9">
        <f>COUNTIF(E:E,E9)</f>
        <v>110</v>
      </c>
      <c r="H9">
        <f>COUNTIFS(E:E,E9,A:A,A9,D:D,D9)</f>
        <v>1</v>
      </c>
      <c r="I9" t="e">
        <f>SUMIF([1]Mapeamento!$J:$J,A9,[1]Mapeamento!$L:$L)</f>
        <v>#VALUE!</v>
      </c>
      <c r="J9" s="1" t="e">
        <f>SUMIF('[1]Map_Meso-Ox'!$C:$C,A9,'[1]Map_Meso-Ox'!$D:$D)</f>
        <v>#VALUE!</v>
      </c>
      <c r="K9" s="2" t="e">
        <f t="shared" si="0"/>
        <v>#VALUE!</v>
      </c>
      <c r="L9" s="1" t="e">
        <f>SUMIF('[1]Map_Meso-Ox'!$C:$C,A9,'[1]Map_Meso-Ox'!$E:$E)</f>
        <v>#VALUE!</v>
      </c>
      <c r="M9" s="2" t="e">
        <f t="shared" si="1"/>
        <v>#VALUE!</v>
      </c>
    </row>
    <row r="10" spans="1:13" x14ac:dyDescent="0.25">
      <c r="A10">
        <v>9</v>
      </c>
      <c r="B10">
        <v>-1</v>
      </c>
      <c r="C10">
        <v>28.030999999999999</v>
      </c>
      <c r="D10">
        <v>0.1709</v>
      </c>
      <c r="E10" t="s">
        <v>5</v>
      </c>
      <c r="F10">
        <v>0</v>
      </c>
      <c r="G10">
        <f>COUNTIF(E:E,E10)</f>
        <v>110</v>
      </c>
      <c r="H10">
        <f>COUNTIFS(E:E,E10,A:A,A10,D:D,D10)</f>
        <v>1</v>
      </c>
      <c r="I10" t="e">
        <f>SUMIF([1]Mapeamento!$J:$J,A10,[1]Mapeamento!$L:$L)</f>
        <v>#VALUE!</v>
      </c>
      <c r="J10" s="1" t="e">
        <f>SUMIF('[1]Map_Meso-Ox'!$C:$C,A10,'[1]Map_Meso-Ox'!$D:$D)</f>
        <v>#VALUE!</v>
      </c>
      <c r="K10" s="2" t="e">
        <f t="shared" si="0"/>
        <v>#VALUE!</v>
      </c>
      <c r="L10" s="1" t="e">
        <f>SUMIF('[1]Map_Meso-Ox'!$C:$C,A10,'[1]Map_Meso-Ox'!$E:$E)</f>
        <v>#VALUE!</v>
      </c>
      <c r="M10" s="2" t="e">
        <f t="shared" si="1"/>
        <v>#VALUE!</v>
      </c>
    </row>
    <row r="11" spans="1:13" x14ac:dyDescent="0.25">
      <c r="A11">
        <v>10</v>
      </c>
      <c r="B11">
        <v>-1</v>
      </c>
      <c r="C11">
        <v>15.59</v>
      </c>
      <c r="D11">
        <v>0.42709999999999998</v>
      </c>
      <c r="E11" t="s">
        <v>5</v>
      </c>
      <c r="F11">
        <v>0</v>
      </c>
      <c r="G11">
        <f>COUNTIF(E:E,E11)</f>
        <v>110</v>
      </c>
      <c r="H11">
        <f>COUNTIFS(E:E,E11,A:A,A11,D:D,D11)</f>
        <v>1</v>
      </c>
      <c r="I11" t="e">
        <f>SUMIF([1]Mapeamento!$J:$J,A11,[1]Mapeamento!$L:$L)</f>
        <v>#VALUE!</v>
      </c>
      <c r="J11" s="1" t="e">
        <f>SUMIF('[1]Map_Meso-Ox'!$C:$C,A11,'[1]Map_Meso-Ox'!$D:$D)</f>
        <v>#VALUE!</v>
      </c>
      <c r="K11" s="2" t="e">
        <f t="shared" si="0"/>
        <v>#VALUE!</v>
      </c>
      <c r="L11" s="1" t="e">
        <f>SUMIF('[1]Map_Meso-Ox'!$C:$C,A11,'[1]Map_Meso-Ox'!$E:$E)</f>
        <v>#VALUE!</v>
      </c>
      <c r="M11" s="2" t="e">
        <f t="shared" si="1"/>
        <v>#VALUE!</v>
      </c>
    </row>
    <row r="12" spans="1:13" x14ac:dyDescent="0.25">
      <c r="A12">
        <v>11</v>
      </c>
      <c r="B12">
        <v>-1</v>
      </c>
      <c r="C12">
        <v>24.196000000000002</v>
      </c>
      <c r="D12">
        <v>0.25130000000000002</v>
      </c>
      <c r="E12" t="s">
        <v>5</v>
      </c>
      <c r="F12">
        <v>0</v>
      </c>
      <c r="G12">
        <f>COUNTIF(E:E,E12)</f>
        <v>110</v>
      </c>
      <c r="H12">
        <f>COUNTIFS(E:E,E12,A:A,A12,D:D,D12)</f>
        <v>1</v>
      </c>
      <c r="I12" t="e">
        <f>SUMIF([1]Mapeamento!$J:$J,A12,[1]Mapeamento!$L:$L)</f>
        <v>#VALUE!</v>
      </c>
      <c r="J12" s="1" t="e">
        <f>SUMIF('[1]Map_Meso-Ox'!$C:$C,A12,'[1]Map_Meso-Ox'!$D:$D)</f>
        <v>#VALUE!</v>
      </c>
      <c r="K12" s="2" t="e">
        <f t="shared" si="0"/>
        <v>#VALUE!</v>
      </c>
      <c r="L12" s="1" t="e">
        <f>SUMIF('[1]Map_Meso-Ox'!$C:$C,A12,'[1]Map_Meso-Ox'!$E:$E)</f>
        <v>#VALUE!</v>
      </c>
      <c r="M12" s="2" t="e">
        <f t="shared" si="1"/>
        <v>#VALUE!</v>
      </c>
    </row>
    <row r="13" spans="1:13" x14ac:dyDescent="0.25">
      <c r="A13">
        <v>12</v>
      </c>
      <c r="B13">
        <v>-1</v>
      </c>
      <c r="C13">
        <v>41.11</v>
      </c>
      <c r="D13">
        <v>5.0000000000000001E-3</v>
      </c>
      <c r="E13" t="s">
        <v>5</v>
      </c>
      <c r="F13">
        <v>1</v>
      </c>
      <c r="G13">
        <f>COUNTIF(E:E,E13)</f>
        <v>110</v>
      </c>
      <c r="H13">
        <f>COUNTIFS(E:E,E13,A:A,A13,D:D,D13)</f>
        <v>1</v>
      </c>
      <c r="I13" t="e">
        <f>SUMIF([1]Mapeamento!$J:$J,A13,[1]Mapeamento!$L:$L)</f>
        <v>#VALUE!</v>
      </c>
      <c r="J13" s="1" t="e">
        <f>SUMIF('[1]Map_Meso-Ox'!$C:$C,A13,'[1]Map_Meso-Ox'!$D:$D)</f>
        <v>#VALUE!</v>
      </c>
      <c r="K13" s="2" t="e">
        <f t="shared" si="0"/>
        <v>#VALUE!</v>
      </c>
      <c r="L13" s="1" t="e">
        <f>SUMIF('[1]Map_Meso-Ox'!$C:$C,A13,'[1]Map_Meso-Ox'!$E:$E)</f>
        <v>#VALUE!</v>
      </c>
      <c r="M13" s="2" t="e">
        <f t="shared" si="1"/>
        <v>#VALUE!</v>
      </c>
    </row>
    <row r="14" spans="1:13" x14ac:dyDescent="0.25">
      <c r="A14">
        <v>13</v>
      </c>
      <c r="B14">
        <v>-1</v>
      </c>
      <c r="C14">
        <v>44.889000000000003</v>
      </c>
      <c r="D14">
        <v>1.01E-2</v>
      </c>
      <c r="E14" t="s">
        <v>5</v>
      </c>
      <c r="F14">
        <v>1</v>
      </c>
      <c r="G14">
        <f>COUNTIF(E:E,E14)</f>
        <v>110</v>
      </c>
      <c r="H14">
        <f>COUNTIFS(E:E,E14,A:A,A14,D:D,D14)</f>
        <v>1</v>
      </c>
      <c r="I14" t="e">
        <f>SUMIF([1]Mapeamento!$J:$J,A14,[1]Mapeamento!$L:$L)</f>
        <v>#VALUE!</v>
      </c>
      <c r="J14" s="1" t="e">
        <f>SUMIF('[1]Map_Meso-Ox'!$C:$C,A14,'[1]Map_Meso-Ox'!$D:$D)</f>
        <v>#VALUE!</v>
      </c>
      <c r="K14" s="2" t="e">
        <f t="shared" si="0"/>
        <v>#VALUE!</v>
      </c>
      <c r="L14" s="1" t="e">
        <f>SUMIF('[1]Map_Meso-Ox'!$C:$C,A14,'[1]Map_Meso-Ox'!$E:$E)</f>
        <v>#VALUE!</v>
      </c>
      <c r="M14" s="2" t="e">
        <f t="shared" si="1"/>
        <v>#VALUE!</v>
      </c>
    </row>
    <row r="15" spans="1:13" x14ac:dyDescent="0.25">
      <c r="A15">
        <v>14</v>
      </c>
      <c r="B15">
        <v>-1</v>
      </c>
      <c r="C15">
        <v>58.741999999999997</v>
      </c>
      <c r="D15">
        <v>0</v>
      </c>
      <c r="E15" t="s">
        <v>5</v>
      </c>
      <c r="F15">
        <v>1</v>
      </c>
      <c r="G15">
        <f>COUNTIF(E:E,E15)</f>
        <v>110</v>
      </c>
      <c r="H15">
        <f>COUNTIFS(E:E,E15,A:A,A15,D:D,D15)</f>
        <v>1</v>
      </c>
      <c r="I15" t="e">
        <f>SUMIF([1]Mapeamento!$J:$J,A15,[1]Mapeamento!$L:$L)</f>
        <v>#VALUE!</v>
      </c>
      <c r="J15" s="1" t="e">
        <f>SUMIF('[1]Map_Meso-Ox'!$C:$C,A15,'[1]Map_Meso-Ox'!$D:$D)</f>
        <v>#VALUE!</v>
      </c>
      <c r="K15" s="2" t="e">
        <f t="shared" si="0"/>
        <v>#VALUE!</v>
      </c>
      <c r="L15" s="1" t="e">
        <f>SUMIF('[1]Map_Meso-Ox'!$C:$C,A15,'[1]Map_Meso-Ox'!$E:$E)</f>
        <v>#VALUE!</v>
      </c>
      <c r="M15" s="2" t="e">
        <f t="shared" si="1"/>
        <v>#VALUE!</v>
      </c>
    </row>
    <row r="16" spans="1:13" x14ac:dyDescent="0.25">
      <c r="A16">
        <v>15</v>
      </c>
      <c r="B16">
        <v>-1</v>
      </c>
      <c r="C16">
        <v>38.137</v>
      </c>
      <c r="D16">
        <v>0.13070000000000001</v>
      </c>
      <c r="E16" t="s">
        <v>5</v>
      </c>
      <c r="F16">
        <v>0</v>
      </c>
      <c r="G16">
        <f>COUNTIF(E:E,E16)</f>
        <v>110</v>
      </c>
      <c r="H16">
        <f>COUNTIFS(E:E,E16,A:A,A16,D:D,D16)</f>
        <v>1</v>
      </c>
      <c r="I16" t="e">
        <f>SUMIF([1]Mapeamento!$J:$J,A16,[1]Mapeamento!$L:$L)</f>
        <v>#VALUE!</v>
      </c>
      <c r="J16" s="1" t="e">
        <f>SUMIF('[1]Map_Meso-Ox'!$C:$C,A16,'[1]Map_Meso-Ox'!$D:$D)</f>
        <v>#VALUE!</v>
      </c>
      <c r="K16" s="2" t="e">
        <f t="shared" si="0"/>
        <v>#VALUE!</v>
      </c>
      <c r="L16" s="1" t="e">
        <f>SUMIF('[1]Map_Meso-Ox'!$C:$C,A16,'[1]Map_Meso-Ox'!$E:$E)</f>
        <v>#VALUE!</v>
      </c>
      <c r="M16" s="2" t="e">
        <f t="shared" si="1"/>
        <v>#VALUE!</v>
      </c>
    </row>
    <row r="17" spans="1:13" x14ac:dyDescent="0.25">
      <c r="A17">
        <v>16</v>
      </c>
      <c r="B17">
        <v>-1</v>
      </c>
      <c r="C17">
        <v>44.31</v>
      </c>
      <c r="D17">
        <v>2.01E-2</v>
      </c>
      <c r="E17" t="s">
        <v>5</v>
      </c>
      <c r="F17">
        <v>1</v>
      </c>
      <c r="G17">
        <f>COUNTIF(E:E,E17)</f>
        <v>110</v>
      </c>
      <c r="H17">
        <f>COUNTIFS(E:E,E17,A:A,A17,D:D,D17)</f>
        <v>1</v>
      </c>
      <c r="I17" t="e">
        <f>SUMIF([1]Mapeamento!$J:$J,A17,[1]Mapeamento!$L:$L)</f>
        <v>#VALUE!</v>
      </c>
      <c r="J17" s="1" t="e">
        <f>SUMIF('[1]Map_Meso-Ox'!$C:$C,A17,'[1]Map_Meso-Ox'!$D:$D)</f>
        <v>#VALUE!</v>
      </c>
      <c r="K17" s="2" t="e">
        <f t="shared" si="0"/>
        <v>#VALUE!</v>
      </c>
      <c r="L17" s="1" t="e">
        <f>SUMIF('[1]Map_Meso-Ox'!$C:$C,A17,'[1]Map_Meso-Ox'!$E:$E)</f>
        <v>#VALUE!</v>
      </c>
      <c r="M17" s="2" t="e">
        <f t="shared" si="1"/>
        <v>#VALUE!</v>
      </c>
    </row>
    <row r="18" spans="1:13" x14ac:dyDescent="0.25">
      <c r="A18">
        <v>17</v>
      </c>
      <c r="B18">
        <v>-1</v>
      </c>
      <c r="C18">
        <v>43.76</v>
      </c>
      <c r="D18">
        <v>0</v>
      </c>
      <c r="E18" t="s">
        <v>5</v>
      </c>
      <c r="F18">
        <v>3</v>
      </c>
      <c r="G18">
        <f>COUNTIF(E:E,E18)</f>
        <v>110</v>
      </c>
      <c r="H18">
        <f>COUNTIFS(E:E,E18,A:A,A18,D:D,D18)</f>
        <v>1</v>
      </c>
      <c r="I18" t="e">
        <f>SUMIF([1]Mapeamento!$J:$J,A18,[1]Mapeamento!$L:$L)</f>
        <v>#VALUE!</v>
      </c>
      <c r="J18" s="1" t="e">
        <f>SUMIF('[1]Map_Meso-Ox'!$C:$C,A18,'[1]Map_Meso-Ox'!$D:$D)</f>
        <v>#VALUE!</v>
      </c>
      <c r="K18" s="2" t="e">
        <f t="shared" si="0"/>
        <v>#VALUE!</v>
      </c>
      <c r="L18" s="1" t="e">
        <f>SUMIF('[1]Map_Meso-Ox'!$C:$C,A18,'[1]Map_Meso-Ox'!$E:$E)</f>
        <v>#VALUE!</v>
      </c>
      <c r="M18" s="2" t="e">
        <f t="shared" si="1"/>
        <v>#VALUE!</v>
      </c>
    </row>
    <row r="19" spans="1:13" x14ac:dyDescent="0.25">
      <c r="A19">
        <v>18</v>
      </c>
      <c r="B19">
        <v>-1</v>
      </c>
      <c r="C19">
        <v>26.484000000000002</v>
      </c>
      <c r="D19">
        <v>8.5400000000000004E-2</v>
      </c>
      <c r="E19" t="s">
        <v>5</v>
      </c>
      <c r="F19">
        <v>3</v>
      </c>
      <c r="G19">
        <f>COUNTIF(E:E,E19)</f>
        <v>110</v>
      </c>
      <c r="H19">
        <f>COUNTIFS(E:E,E19,A:A,A19,D:D,D19)</f>
        <v>1</v>
      </c>
      <c r="I19" t="e">
        <f>SUMIF([1]Mapeamento!$J:$J,A19,[1]Mapeamento!$L:$L)</f>
        <v>#VALUE!</v>
      </c>
      <c r="J19" s="1" t="e">
        <f>SUMIF('[1]Map_Meso-Ox'!$C:$C,A19,'[1]Map_Meso-Ox'!$D:$D)</f>
        <v>#VALUE!</v>
      </c>
      <c r="K19" s="2" t="e">
        <f t="shared" si="0"/>
        <v>#VALUE!</v>
      </c>
      <c r="L19" s="1" t="e">
        <f>SUMIF('[1]Map_Meso-Ox'!$C:$C,A19,'[1]Map_Meso-Ox'!$E:$E)</f>
        <v>#VALUE!</v>
      </c>
      <c r="M19" s="2" t="e">
        <f t="shared" si="1"/>
        <v>#VALUE!</v>
      </c>
    </row>
    <row r="20" spans="1:13" x14ac:dyDescent="0.25">
      <c r="A20">
        <v>19</v>
      </c>
      <c r="B20">
        <v>-1</v>
      </c>
      <c r="C20">
        <v>53.981000000000002</v>
      </c>
      <c r="D20">
        <v>0</v>
      </c>
      <c r="E20" t="s">
        <v>5</v>
      </c>
      <c r="F20">
        <v>2</v>
      </c>
      <c r="G20">
        <f>COUNTIF(E:E,E20)</f>
        <v>110</v>
      </c>
      <c r="H20">
        <f>COUNTIFS(E:E,E20,A:A,A20,D:D,D20)</f>
        <v>1</v>
      </c>
      <c r="I20" t="e">
        <f>SUMIF([1]Mapeamento!$J:$J,A20,[1]Mapeamento!$L:$L)</f>
        <v>#VALUE!</v>
      </c>
      <c r="J20" s="1" t="e">
        <f>SUMIF('[1]Map_Meso-Ox'!$C:$C,A20,'[1]Map_Meso-Ox'!$D:$D)</f>
        <v>#VALUE!</v>
      </c>
      <c r="K20" s="2" t="e">
        <f t="shared" si="0"/>
        <v>#VALUE!</v>
      </c>
      <c r="L20" s="1" t="e">
        <f>SUMIF('[1]Map_Meso-Ox'!$C:$C,A20,'[1]Map_Meso-Ox'!$E:$E)</f>
        <v>#VALUE!</v>
      </c>
      <c r="M20" s="2" t="e">
        <f t="shared" si="1"/>
        <v>#VALUE!</v>
      </c>
    </row>
    <row r="21" spans="1:13" x14ac:dyDescent="0.25">
      <c r="A21">
        <v>20</v>
      </c>
      <c r="B21">
        <v>-1</v>
      </c>
      <c r="C21">
        <v>61.887999999999998</v>
      </c>
      <c r="D21">
        <v>0</v>
      </c>
      <c r="E21" t="s">
        <v>5</v>
      </c>
      <c r="F21">
        <v>2</v>
      </c>
      <c r="G21">
        <f>COUNTIF(E:E,E21)</f>
        <v>110</v>
      </c>
      <c r="H21">
        <f>COUNTIFS(E:E,E21,A:A,A21,D:D,D21)</f>
        <v>1</v>
      </c>
      <c r="I21" t="e">
        <f>SUMIF([1]Mapeamento!$J:$J,A21,[1]Mapeamento!$L:$L)</f>
        <v>#VALUE!</v>
      </c>
      <c r="J21" s="1" t="e">
        <f>SUMIF('[1]Map_Meso-Ox'!$C:$C,A21,'[1]Map_Meso-Ox'!$D:$D)</f>
        <v>#VALUE!</v>
      </c>
      <c r="K21" s="2" t="e">
        <f t="shared" si="0"/>
        <v>#VALUE!</v>
      </c>
      <c r="L21" s="1" t="e">
        <f>SUMIF('[1]Map_Meso-Ox'!$C:$C,A21,'[1]Map_Meso-Ox'!$E:$E)</f>
        <v>#VALUE!</v>
      </c>
      <c r="M21" s="2" t="e">
        <f t="shared" si="1"/>
        <v>#VALUE!</v>
      </c>
    </row>
    <row r="22" spans="1:13" x14ac:dyDescent="0.25">
      <c r="A22">
        <v>21</v>
      </c>
      <c r="B22">
        <v>-1</v>
      </c>
      <c r="C22">
        <v>44.664000000000001</v>
      </c>
      <c r="D22">
        <v>1.5100000000000001E-2</v>
      </c>
      <c r="E22" t="s">
        <v>5</v>
      </c>
      <c r="F22">
        <v>2</v>
      </c>
      <c r="G22">
        <f>COUNTIF(E:E,E22)</f>
        <v>110</v>
      </c>
      <c r="H22">
        <f>COUNTIFS(E:E,E22,A:A,A22,D:D,D22)</f>
        <v>1</v>
      </c>
      <c r="I22" t="e">
        <f>SUMIF([1]Mapeamento!$J:$J,A22,[1]Mapeamento!$L:$L)</f>
        <v>#VALUE!</v>
      </c>
      <c r="J22" s="1" t="e">
        <f>SUMIF('[1]Map_Meso-Ox'!$C:$C,A22,'[1]Map_Meso-Ox'!$D:$D)</f>
        <v>#VALUE!</v>
      </c>
      <c r="K22" s="2" t="e">
        <f t="shared" si="0"/>
        <v>#VALUE!</v>
      </c>
      <c r="L22" s="1" t="e">
        <f>SUMIF('[1]Map_Meso-Ox'!$C:$C,A22,'[1]Map_Meso-Ox'!$E:$E)</f>
        <v>#VALUE!</v>
      </c>
      <c r="M22" s="2" t="e">
        <f t="shared" si="1"/>
        <v>#VALUE!</v>
      </c>
    </row>
    <row r="23" spans="1:13" x14ac:dyDescent="0.25">
      <c r="A23">
        <v>22</v>
      </c>
      <c r="B23">
        <v>-1</v>
      </c>
      <c r="C23">
        <v>31.059000000000001</v>
      </c>
      <c r="D23">
        <v>7.5399999999999995E-2</v>
      </c>
      <c r="E23" t="s">
        <v>5</v>
      </c>
      <c r="F23">
        <v>3</v>
      </c>
      <c r="G23">
        <f>COUNTIF(E:E,E23)</f>
        <v>110</v>
      </c>
      <c r="H23">
        <f>COUNTIFS(E:E,E23,A:A,A23,D:D,D23)</f>
        <v>1</v>
      </c>
      <c r="I23" t="e">
        <f>SUMIF([1]Mapeamento!$J:$J,A23,[1]Mapeamento!$L:$L)</f>
        <v>#VALUE!</v>
      </c>
      <c r="J23" s="1" t="e">
        <f>SUMIF('[1]Map_Meso-Ox'!$C:$C,A23,'[1]Map_Meso-Ox'!$D:$D)</f>
        <v>#VALUE!</v>
      </c>
      <c r="K23" s="2" t="e">
        <f t="shared" si="0"/>
        <v>#VALUE!</v>
      </c>
      <c r="L23" s="1" t="e">
        <f>SUMIF('[1]Map_Meso-Ox'!$C:$C,A23,'[1]Map_Meso-Ox'!$E:$E)</f>
        <v>#VALUE!</v>
      </c>
      <c r="M23" s="2" t="e">
        <f t="shared" si="1"/>
        <v>#VALUE!</v>
      </c>
    </row>
    <row r="24" spans="1:13" x14ac:dyDescent="0.25">
      <c r="A24">
        <v>23</v>
      </c>
      <c r="B24">
        <v>-1</v>
      </c>
      <c r="C24">
        <v>31.431999999999999</v>
      </c>
      <c r="D24">
        <v>9.5500000000000002E-2</v>
      </c>
      <c r="E24" t="s">
        <v>5</v>
      </c>
      <c r="F24">
        <v>1</v>
      </c>
      <c r="G24">
        <f>COUNTIF(E:E,E24)</f>
        <v>110</v>
      </c>
      <c r="H24">
        <f>COUNTIFS(E:E,E24,A:A,A24,D:D,D24)</f>
        <v>1</v>
      </c>
      <c r="I24" t="e">
        <f>SUMIF([1]Mapeamento!$J:$J,A24,[1]Mapeamento!$L:$L)</f>
        <v>#VALUE!</v>
      </c>
      <c r="J24" s="1" t="e">
        <f>SUMIF('[1]Map_Meso-Ox'!$C:$C,A24,'[1]Map_Meso-Ox'!$D:$D)</f>
        <v>#VALUE!</v>
      </c>
      <c r="K24" s="2" t="e">
        <f t="shared" si="0"/>
        <v>#VALUE!</v>
      </c>
      <c r="L24" s="1" t="e">
        <f>SUMIF('[1]Map_Meso-Ox'!$C:$C,A24,'[1]Map_Meso-Ox'!$E:$E)</f>
        <v>#VALUE!</v>
      </c>
      <c r="M24" s="2" t="e">
        <f t="shared" si="1"/>
        <v>#VALUE!</v>
      </c>
    </row>
    <row r="25" spans="1:13" x14ac:dyDescent="0.25">
      <c r="A25">
        <v>24</v>
      </c>
      <c r="B25">
        <v>-1</v>
      </c>
      <c r="C25">
        <v>56.616</v>
      </c>
      <c r="D25">
        <v>0</v>
      </c>
      <c r="E25" t="s">
        <v>5</v>
      </c>
      <c r="F25">
        <v>1</v>
      </c>
      <c r="G25">
        <f>COUNTIF(E:E,E25)</f>
        <v>110</v>
      </c>
      <c r="H25">
        <f>COUNTIFS(E:E,E25,A:A,A25,D:D,D25)</f>
        <v>1</v>
      </c>
      <c r="I25" t="e">
        <f>SUMIF([1]Mapeamento!$J:$J,A25,[1]Mapeamento!$L:$L)</f>
        <v>#VALUE!</v>
      </c>
      <c r="J25" s="1" t="e">
        <f>SUMIF('[1]Map_Meso-Ox'!$C:$C,A25,'[1]Map_Meso-Ox'!$D:$D)</f>
        <v>#VALUE!</v>
      </c>
      <c r="K25" s="2" t="e">
        <f t="shared" si="0"/>
        <v>#VALUE!</v>
      </c>
      <c r="L25" s="1" t="e">
        <f>SUMIF('[1]Map_Meso-Ox'!$C:$C,A25,'[1]Map_Meso-Ox'!$E:$E)</f>
        <v>#VALUE!</v>
      </c>
      <c r="M25" s="2" t="e">
        <f t="shared" si="1"/>
        <v>#VALUE!</v>
      </c>
    </row>
    <row r="26" spans="1:13" x14ac:dyDescent="0.25">
      <c r="A26">
        <v>25</v>
      </c>
      <c r="B26">
        <v>-1</v>
      </c>
      <c r="C26">
        <v>35.054000000000002</v>
      </c>
      <c r="D26">
        <v>7.0400000000000004E-2</v>
      </c>
      <c r="E26" t="s">
        <v>5</v>
      </c>
      <c r="F26">
        <v>1</v>
      </c>
      <c r="G26">
        <f>COUNTIF(E:E,E26)</f>
        <v>110</v>
      </c>
      <c r="H26">
        <f>COUNTIFS(E:E,E26,A:A,A26,D:D,D26)</f>
        <v>1</v>
      </c>
      <c r="I26" t="e">
        <f>SUMIF([1]Mapeamento!$J:$J,A26,[1]Mapeamento!$L:$L)</f>
        <v>#VALUE!</v>
      </c>
      <c r="J26" s="1" t="e">
        <f>SUMIF('[1]Map_Meso-Ox'!$C:$C,A26,'[1]Map_Meso-Ox'!$D:$D)</f>
        <v>#VALUE!</v>
      </c>
      <c r="K26" s="2" t="e">
        <f t="shared" si="0"/>
        <v>#VALUE!</v>
      </c>
      <c r="L26" s="1" t="e">
        <f>SUMIF('[1]Map_Meso-Ox'!$C:$C,A26,'[1]Map_Meso-Ox'!$E:$E)</f>
        <v>#VALUE!</v>
      </c>
      <c r="M26" s="2" t="e">
        <f t="shared" si="1"/>
        <v>#VALUE!</v>
      </c>
    </row>
    <row r="27" spans="1:13" x14ac:dyDescent="0.25">
      <c r="A27">
        <v>26</v>
      </c>
      <c r="B27">
        <v>-1</v>
      </c>
      <c r="C27">
        <v>51.472999999999999</v>
      </c>
      <c r="D27">
        <v>5.0000000000000001E-3</v>
      </c>
      <c r="E27" t="s">
        <v>5</v>
      </c>
      <c r="F27">
        <v>2</v>
      </c>
      <c r="G27">
        <f>COUNTIF(E:E,E27)</f>
        <v>110</v>
      </c>
      <c r="H27">
        <f>COUNTIFS(E:E,E27,A:A,A27,D:D,D27)</f>
        <v>1</v>
      </c>
      <c r="I27" t="e">
        <f>SUMIF([1]Mapeamento!$J:$J,A27,[1]Mapeamento!$L:$L)</f>
        <v>#VALUE!</v>
      </c>
      <c r="J27" s="1" t="e">
        <f>SUMIF('[1]Map_Meso-Ox'!$C:$C,A27,'[1]Map_Meso-Ox'!$D:$D)</f>
        <v>#VALUE!</v>
      </c>
      <c r="K27" s="2" t="e">
        <f t="shared" si="0"/>
        <v>#VALUE!</v>
      </c>
      <c r="L27" s="1" t="e">
        <f>SUMIF('[1]Map_Meso-Ox'!$C:$C,A27,'[1]Map_Meso-Ox'!$E:$E)</f>
        <v>#VALUE!</v>
      </c>
      <c r="M27" s="2" t="e">
        <f t="shared" si="1"/>
        <v>#VALUE!</v>
      </c>
    </row>
    <row r="28" spans="1:13" x14ac:dyDescent="0.25">
      <c r="A28">
        <v>27</v>
      </c>
      <c r="B28">
        <v>-1</v>
      </c>
      <c r="C28">
        <v>28.498999999999999</v>
      </c>
      <c r="D28">
        <v>0.15579999999999999</v>
      </c>
      <c r="E28" t="s">
        <v>5</v>
      </c>
      <c r="F28">
        <v>0</v>
      </c>
      <c r="G28">
        <f>COUNTIF(E:E,E28)</f>
        <v>110</v>
      </c>
      <c r="H28">
        <f>COUNTIFS(E:E,E28,A:A,A28,D:D,D28)</f>
        <v>1</v>
      </c>
      <c r="I28" t="e">
        <f>SUMIF([1]Mapeamento!$J:$J,A28,[1]Mapeamento!$L:$L)</f>
        <v>#VALUE!</v>
      </c>
      <c r="J28" s="1" t="e">
        <f>SUMIF('[1]Map_Meso-Ox'!$C:$C,A28,'[1]Map_Meso-Ox'!$D:$D)</f>
        <v>#VALUE!</v>
      </c>
      <c r="K28" s="2" t="e">
        <f t="shared" si="0"/>
        <v>#VALUE!</v>
      </c>
      <c r="L28" s="1" t="e">
        <f>SUMIF('[1]Map_Meso-Ox'!$C:$C,A28,'[1]Map_Meso-Ox'!$E:$E)</f>
        <v>#VALUE!</v>
      </c>
      <c r="M28" s="2" t="e">
        <f t="shared" si="1"/>
        <v>#VALUE!</v>
      </c>
    </row>
    <row r="29" spans="1:13" x14ac:dyDescent="0.25">
      <c r="A29">
        <v>28</v>
      </c>
      <c r="B29">
        <v>-1</v>
      </c>
      <c r="C29">
        <v>65.31</v>
      </c>
      <c r="D29">
        <v>5.0000000000000001E-3</v>
      </c>
      <c r="E29" t="s">
        <v>5</v>
      </c>
      <c r="F29">
        <v>2</v>
      </c>
      <c r="G29">
        <f>COUNTIF(E:E,E29)</f>
        <v>110</v>
      </c>
      <c r="H29">
        <f>COUNTIFS(E:E,E29,A:A,A29,D:D,D29)</f>
        <v>1</v>
      </c>
      <c r="I29" t="e">
        <f>SUMIF([1]Mapeamento!$J:$J,A29,[1]Mapeamento!$L:$L)</f>
        <v>#VALUE!</v>
      </c>
      <c r="J29" s="1" t="e">
        <f>SUMIF('[1]Map_Meso-Ox'!$C:$C,A29,'[1]Map_Meso-Ox'!$D:$D)</f>
        <v>#VALUE!</v>
      </c>
      <c r="K29" s="2" t="e">
        <f t="shared" si="0"/>
        <v>#VALUE!</v>
      </c>
      <c r="L29" s="1" t="e">
        <f>SUMIF('[1]Map_Meso-Ox'!$C:$C,A29,'[1]Map_Meso-Ox'!$E:$E)</f>
        <v>#VALUE!</v>
      </c>
      <c r="M29" s="2" t="e">
        <f t="shared" si="1"/>
        <v>#VALUE!</v>
      </c>
    </row>
    <row r="30" spans="1:13" x14ac:dyDescent="0.25">
      <c r="A30">
        <v>29</v>
      </c>
      <c r="B30">
        <v>-1</v>
      </c>
      <c r="C30">
        <v>45.69</v>
      </c>
      <c r="D30">
        <v>2.01E-2</v>
      </c>
      <c r="E30" t="s">
        <v>5</v>
      </c>
      <c r="F30">
        <v>1</v>
      </c>
      <c r="G30">
        <f>COUNTIF(E:E,E30)</f>
        <v>110</v>
      </c>
      <c r="H30">
        <f>COUNTIFS(E:E,E30,A:A,A30,D:D,D30)</f>
        <v>1</v>
      </c>
      <c r="I30" t="e">
        <f>SUMIF([1]Mapeamento!$J:$J,A30,[1]Mapeamento!$L:$L)</f>
        <v>#VALUE!</v>
      </c>
      <c r="J30" s="1" t="e">
        <f>SUMIF('[1]Map_Meso-Ox'!$C:$C,A30,'[1]Map_Meso-Ox'!$D:$D)</f>
        <v>#VALUE!</v>
      </c>
      <c r="K30" s="2" t="e">
        <f t="shared" si="0"/>
        <v>#VALUE!</v>
      </c>
      <c r="L30" s="1" t="e">
        <f>SUMIF('[1]Map_Meso-Ox'!$C:$C,A30,'[1]Map_Meso-Ox'!$E:$E)</f>
        <v>#VALUE!</v>
      </c>
      <c r="M30" s="2" t="e">
        <f t="shared" si="1"/>
        <v>#VALUE!</v>
      </c>
    </row>
    <row r="31" spans="1:13" x14ac:dyDescent="0.25">
      <c r="A31">
        <v>30</v>
      </c>
      <c r="B31">
        <v>-1</v>
      </c>
      <c r="C31">
        <v>45.768999999999998</v>
      </c>
      <c r="D31">
        <v>1.01E-2</v>
      </c>
      <c r="E31" t="s">
        <v>5</v>
      </c>
      <c r="F31">
        <v>1</v>
      </c>
      <c r="G31">
        <f>COUNTIF(E:E,E31)</f>
        <v>110</v>
      </c>
      <c r="H31">
        <f>COUNTIFS(E:E,E31,A:A,A31,D:D,D31)</f>
        <v>1</v>
      </c>
      <c r="I31" t="e">
        <f>SUMIF([1]Mapeamento!$J:$J,A31,[1]Mapeamento!$L:$L)</f>
        <v>#VALUE!</v>
      </c>
      <c r="J31" s="1" t="e">
        <f>SUMIF('[1]Map_Meso-Ox'!$C:$C,A31,'[1]Map_Meso-Ox'!$D:$D)</f>
        <v>#VALUE!</v>
      </c>
      <c r="K31" s="2" t="e">
        <f t="shared" si="0"/>
        <v>#VALUE!</v>
      </c>
      <c r="L31" s="1" t="e">
        <f>SUMIF('[1]Map_Meso-Ox'!$C:$C,A31,'[1]Map_Meso-Ox'!$E:$E)</f>
        <v>#VALUE!</v>
      </c>
      <c r="M31" s="2" t="e">
        <f t="shared" si="1"/>
        <v>#VALUE!</v>
      </c>
    </row>
    <row r="32" spans="1:13" x14ac:dyDescent="0.25">
      <c r="A32">
        <v>31</v>
      </c>
      <c r="B32">
        <v>-1</v>
      </c>
      <c r="C32">
        <v>70.531000000000006</v>
      </c>
      <c r="D32">
        <v>0</v>
      </c>
      <c r="E32" t="s">
        <v>5</v>
      </c>
      <c r="F32">
        <v>1</v>
      </c>
      <c r="G32">
        <f>COUNTIF(E:E,E32)</f>
        <v>110</v>
      </c>
      <c r="H32">
        <f>COUNTIFS(E:E,E32,A:A,A32,D:D,D32)</f>
        <v>1</v>
      </c>
      <c r="I32" t="e">
        <f>SUMIF([1]Mapeamento!$J:$J,A32,[1]Mapeamento!$L:$L)</f>
        <v>#VALUE!</v>
      </c>
      <c r="J32" s="1" t="e">
        <f>SUMIF('[1]Map_Meso-Ox'!$C:$C,A32,'[1]Map_Meso-Ox'!$D:$D)</f>
        <v>#VALUE!</v>
      </c>
      <c r="K32" s="2" t="e">
        <f t="shared" si="0"/>
        <v>#VALUE!</v>
      </c>
      <c r="L32" s="1" t="e">
        <f>SUMIF('[1]Map_Meso-Ox'!$C:$C,A32,'[1]Map_Meso-Ox'!$E:$E)</f>
        <v>#VALUE!</v>
      </c>
      <c r="M32" s="2" t="e">
        <f t="shared" si="1"/>
        <v>#VALUE!</v>
      </c>
    </row>
    <row r="33" spans="1:13" x14ac:dyDescent="0.25">
      <c r="A33">
        <v>32</v>
      </c>
      <c r="B33">
        <v>-1</v>
      </c>
      <c r="C33">
        <v>36.332999999999998</v>
      </c>
      <c r="D33">
        <v>6.5299999999999997E-2</v>
      </c>
      <c r="E33" t="s">
        <v>5</v>
      </c>
      <c r="F33">
        <v>1</v>
      </c>
      <c r="G33">
        <f>COUNTIF(E:E,E33)</f>
        <v>110</v>
      </c>
      <c r="H33">
        <f>COUNTIFS(E:E,E33,A:A,A33,D:D,D33)</f>
        <v>1</v>
      </c>
      <c r="I33" t="e">
        <f>SUMIF([1]Mapeamento!$J:$J,A33,[1]Mapeamento!$L:$L)</f>
        <v>#VALUE!</v>
      </c>
      <c r="J33" s="1" t="e">
        <f>SUMIF('[1]Map_Meso-Ox'!$C:$C,A33,'[1]Map_Meso-Ox'!$D:$D)</f>
        <v>#VALUE!</v>
      </c>
      <c r="K33" s="2" t="e">
        <f t="shared" si="0"/>
        <v>#VALUE!</v>
      </c>
      <c r="L33" s="1" t="e">
        <f>SUMIF('[1]Map_Meso-Ox'!$C:$C,A33,'[1]Map_Meso-Ox'!$E:$E)</f>
        <v>#VALUE!</v>
      </c>
      <c r="M33" s="2" t="e">
        <f t="shared" si="1"/>
        <v>#VALUE!</v>
      </c>
    </row>
    <row r="34" spans="1:13" x14ac:dyDescent="0.25">
      <c r="A34">
        <v>33</v>
      </c>
      <c r="B34">
        <v>-1</v>
      </c>
      <c r="C34">
        <v>22.021999999999998</v>
      </c>
      <c r="D34">
        <v>0.3266</v>
      </c>
      <c r="E34" t="s">
        <v>5</v>
      </c>
      <c r="F34">
        <v>0</v>
      </c>
      <c r="G34">
        <f>COUNTIF(E:E,E34)</f>
        <v>110</v>
      </c>
      <c r="H34">
        <f>COUNTIFS(E:E,E34,A:A,A34,D:D,D34)</f>
        <v>1</v>
      </c>
      <c r="I34" t="e">
        <f>SUMIF([1]Mapeamento!$J:$J,A34,[1]Mapeamento!$L:$L)</f>
        <v>#VALUE!</v>
      </c>
      <c r="J34" s="1" t="e">
        <f>SUMIF('[1]Map_Meso-Ox'!$C:$C,A34,'[1]Map_Meso-Ox'!$D:$D)</f>
        <v>#VALUE!</v>
      </c>
      <c r="K34" s="2" t="e">
        <f t="shared" si="0"/>
        <v>#VALUE!</v>
      </c>
      <c r="L34" s="1" t="e">
        <f>SUMIF('[1]Map_Meso-Ox'!$C:$C,A34,'[1]Map_Meso-Ox'!$E:$E)</f>
        <v>#VALUE!</v>
      </c>
      <c r="M34" s="2" t="e">
        <f t="shared" si="1"/>
        <v>#VALUE!</v>
      </c>
    </row>
    <row r="35" spans="1:13" x14ac:dyDescent="0.25">
      <c r="A35">
        <v>34</v>
      </c>
      <c r="B35">
        <v>-1</v>
      </c>
      <c r="C35">
        <v>44.381</v>
      </c>
      <c r="D35">
        <v>5.0000000000000001E-3</v>
      </c>
      <c r="E35" t="s">
        <v>5</v>
      </c>
      <c r="F35">
        <v>2</v>
      </c>
      <c r="G35">
        <f>COUNTIF(E:E,E35)</f>
        <v>110</v>
      </c>
      <c r="H35">
        <f>COUNTIFS(E:E,E35,A:A,A35,D:D,D35)</f>
        <v>1</v>
      </c>
      <c r="I35" t="e">
        <f>SUMIF([1]Mapeamento!$J:$J,A35,[1]Mapeamento!$L:$L)</f>
        <v>#VALUE!</v>
      </c>
      <c r="J35" s="1" t="e">
        <f>SUMIF('[1]Map_Meso-Ox'!$C:$C,A35,'[1]Map_Meso-Ox'!$D:$D)</f>
        <v>#VALUE!</v>
      </c>
      <c r="K35" s="2" t="e">
        <f t="shared" si="0"/>
        <v>#VALUE!</v>
      </c>
      <c r="L35" s="1" t="e">
        <f>SUMIF('[1]Map_Meso-Ox'!$C:$C,A35,'[1]Map_Meso-Ox'!$E:$E)</f>
        <v>#VALUE!</v>
      </c>
      <c r="M35" s="2" t="e">
        <f t="shared" si="1"/>
        <v>#VALUE!</v>
      </c>
    </row>
    <row r="36" spans="1:13" x14ac:dyDescent="0.25">
      <c r="A36">
        <v>35</v>
      </c>
      <c r="B36">
        <v>-1</v>
      </c>
      <c r="C36">
        <v>19.356000000000002</v>
      </c>
      <c r="D36">
        <v>0.59799999999999998</v>
      </c>
      <c r="E36" t="s">
        <v>5</v>
      </c>
      <c r="F36">
        <v>0</v>
      </c>
      <c r="G36">
        <f>COUNTIF(E:E,E36)</f>
        <v>110</v>
      </c>
      <c r="H36">
        <f>COUNTIFS(E:E,E36,A:A,A36,D:D,D36)</f>
        <v>1</v>
      </c>
      <c r="I36" t="e">
        <f>SUMIF([1]Mapeamento!$J:$J,A36,[1]Mapeamento!$L:$L)</f>
        <v>#VALUE!</v>
      </c>
      <c r="J36" s="1" t="e">
        <f>SUMIF('[1]Map_Meso-Ox'!$C:$C,A36,'[1]Map_Meso-Ox'!$D:$D)</f>
        <v>#VALUE!</v>
      </c>
      <c r="K36" s="2" t="e">
        <f t="shared" si="0"/>
        <v>#VALUE!</v>
      </c>
      <c r="L36" s="1" t="e">
        <f>SUMIF('[1]Map_Meso-Ox'!$C:$C,A36,'[1]Map_Meso-Ox'!$E:$E)</f>
        <v>#VALUE!</v>
      </c>
      <c r="M36" s="2" t="e">
        <f t="shared" si="1"/>
        <v>#VALUE!</v>
      </c>
    </row>
    <row r="37" spans="1:13" x14ac:dyDescent="0.25">
      <c r="A37">
        <v>36</v>
      </c>
      <c r="B37">
        <v>-1</v>
      </c>
      <c r="C37">
        <v>36.557000000000002</v>
      </c>
      <c r="D37">
        <v>3.0200000000000001E-2</v>
      </c>
      <c r="E37" t="s">
        <v>5</v>
      </c>
      <c r="F37">
        <v>2</v>
      </c>
      <c r="G37">
        <f>COUNTIF(E:E,E37)</f>
        <v>110</v>
      </c>
      <c r="H37">
        <f>COUNTIFS(E:E,E37,A:A,A37,D:D,D37)</f>
        <v>1</v>
      </c>
      <c r="I37" t="e">
        <f>SUMIF([1]Mapeamento!$J:$J,A37,[1]Mapeamento!$L:$L)</f>
        <v>#VALUE!</v>
      </c>
      <c r="J37" s="1" t="e">
        <f>SUMIF('[1]Map_Meso-Ox'!$C:$C,A37,'[1]Map_Meso-Ox'!$D:$D)</f>
        <v>#VALUE!</v>
      </c>
      <c r="K37" s="2" t="e">
        <f t="shared" si="0"/>
        <v>#VALUE!</v>
      </c>
      <c r="L37" s="1" t="e">
        <f>SUMIF('[1]Map_Meso-Ox'!$C:$C,A37,'[1]Map_Meso-Ox'!$E:$E)</f>
        <v>#VALUE!</v>
      </c>
      <c r="M37" s="2" t="e">
        <f t="shared" si="1"/>
        <v>#VALUE!</v>
      </c>
    </row>
    <row r="38" spans="1:13" x14ac:dyDescent="0.25">
      <c r="A38">
        <v>37</v>
      </c>
      <c r="B38">
        <v>-1</v>
      </c>
      <c r="C38">
        <v>55.786999999999999</v>
      </c>
      <c r="D38">
        <v>0</v>
      </c>
      <c r="E38" t="s">
        <v>5</v>
      </c>
      <c r="F38">
        <v>1</v>
      </c>
      <c r="G38">
        <f>COUNTIF(E:E,E38)</f>
        <v>110</v>
      </c>
      <c r="H38">
        <f>COUNTIFS(E:E,E38,A:A,A38,D:D,D38)</f>
        <v>1</v>
      </c>
      <c r="I38" t="e">
        <f>SUMIF([1]Mapeamento!$J:$J,A38,[1]Mapeamento!$L:$L)</f>
        <v>#VALUE!</v>
      </c>
      <c r="J38" s="1" t="e">
        <f>SUMIF('[1]Map_Meso-Ox'!$C:$C,A38,'[1]Map_Meso-Ox'!$D:$D)</f>
        <v>#VALUE!</v>
      </c>
      <c r="K38" s="2" t="e">
        <f t="shared" si="0"/>
        <v>#VALUE!</v>
      </c>
      <c r="L38" s="1" t="e">
        <f>SUMIF('[1]Map_Meso-Ox'!$C:$C,A38,'[1]Map_Meso-Ox'!$E:$E)</f>
        <v>#VALUE!</v>
      </c>
      <c r="M38" s="2" t="e">
        <f t="shared" si="1"/>
        <v>#VALUE!</v>
      </c>
    </row>
    <row r="39" spans="1:13" x14ac:dyDescent="0.25">
      <c r="A39">
        <v>38</v>
      </c>
      <c r="B39">
        <v>-1</v>
      </c>
      <c r="C39">
        <v>24.007000000000001</v>
      </c>
      <c r="D39">
        <v>0.42709999999999998</v>
      </c>
      <c r="E39" t="s">
        <v>5</v>
      </c>
      <c r="F39">
        <v>0</v>
      </c>
      <c r="G39">
        <f>COUNTIF(E:E,E39)</f>
        <v>110</v>
      </c>
      <c r="H39">
        <f>COUNTIFS(E:E,E39,A:A,A39,D:D,D39)</f>
        <v>1</v>
      </c>
      <c r="I39" t="e">
        <f>SUMIF([1]Mapeamento!$J:$J,A39,[1]Mapeamento!$L:$L)</f>
        <v>#VALUE!</v>
      </c>
      <c r="J39" s="1" t="e">
        <f>SUMIF('[1]Map_Meso-Ox'!$C:$C,A39,'[1]Map_Meso-Ox'!$D:$D)</f>
        <v>#VALUE!</v>
      </c>
      <c r="K39" s="2" t="e">
        <f t="shared" si="0"/>
        <v>#VALUE!</v>
      </c>
      <c r="L39" s="1" t="e">
        <f>SUMIF('[1]Map_Meso-Ox'!$C:$C,A39,'[1]Map_Meso-Ox'!$E:$E)</f>
        <v>#VALUE!</v>
      </c>
      <c r="M39" s="2" t="e">
        <f t="shared" si="1"/>
        <v>#VALUE!</v>
      </c>
    </row>
    <row r="40" spans="1:13" x14ac:dyDescent="0.25">
      <c r="A40">
        <v>39</v>
      </c>
      <c r="B40">
        <v>-1</v>
      </c>
      <c r="C40">
        <v>51.524000000000001</v>
      </c>
      <c r="D40">
        <v>0</v>
      </c>
      <c r="E40" t="s">
        <v>5</v>
      </c>
      <c r="F40">
        <v>1</v>
      </c>
      <c r="G40">
        <f>COUNTIF(E:E,E40)</f>
        <v>110</v>
      </c>
      <c r="H40">
        <f>COUNTIFS(E:E,E40,A:A,A40,D:D,D40)</f>
        <v>1</v>
      </c>
      <c r="I40" t="e">
        <f>SUMIF([1]Mapeamento!$J:$J,A40,[1]Mapeamento!$L:$L)</f>
        <v>#VALUE!</v>
      </c>
      <c r="J40" s="1" t="e">
        <f>SUMIF('[1]Map_Meso-Ox'!$C:$C,A40,'[1]Map_Meso-Ox'!$D:$D)</f>
        <v>#VALUE!</v>
      </c>
      <c r="K40" s="2" t="e">
        <f t="shared" si="0"/>
        <v>#VALUE!</v>
      </c>
      <c r="L40" s="1" t="e">
        <f>SUMIF('[1]Map_Meso-Ox'!$C:$C,A40,'[1]Map_Meso-Ox'!$E:$E)</f>
        <v>#VALUE!</v>
      </c>
      <c r="M40" s="2" t="e">
        <f t="shared" si="1"/>
        <v>#VALUE!</v>
      </c>
    </row>
    <row r="41" spans="1:13" x14ac:dyDescent="0.25">
      <c r="A41">
        <v>40</v>
      </c>
      <c r="B41">
        <v>-1</v>
      </c>
      <c r="C41">
        <v>39.375</v>
      </c>
      <c r="D41">
        <v>2.01E-2</v>
      </c>
      <c r="E41" t="s">
        <v>5</v>
      </c>
      <c r="F41">
        <v>1</v>
      </c>
      <c r="G41">
        <f>COUNTIF(E:E,E41)</f>
        <v>110</v>
      </c>
      <c r="H41">
        <f>COUNTIFS(E:E,E41,A:A,A41,D:D,D41)</f>
        <v>1</v>
      </c>
      <c r="I41" t="e">
        <f>SUMIF([1]Mapeamento!$J:$J,A41,[1]Mapeamento!$L:$L)</f>
        <v>#VALUE!</v>
      </c>
      <c r="J41" s="1" t="e">
        <f>SUMIF('[1]Map_Meso-Ox'!$C:$C,A41,'[1]Map_Meso-Ox'!$D:$D)</f>
        <v>#VALUE!</v>
      </c>
      <c r="K41" s="2" t="e">
        <f t="shared" si="0"/>
        <v>#VALUE!</v>
      </c>
      <c r="L41" s="1" t="e">
        <f>SUMIF('[1]Map_Meso-Ox'!$C:$C,A41,'[1]Map_Meso-Ox'!$E:$E)</f>
        <v>#VALUE!</v>
      </c>
      <c r="M41" s="2" t="e">
        <f t="shared" si="1"/>
        <v>#VALUE!</v>
      </c>
    </row>
    <row r="42" spans="1:13" x14ac:dyDescent="0.25">
      <c r="A42">
        <v>41</v>
      </c>
      <c r="B42">
        <v>-1</v>
      </c>
      <c r="C42">
        <v>48.944000000000003</v>
      </c>
      <c r="D42">
        <v>0</v>
      </c>
      <c r="E42" t="s">
        <v>5</v>
      </c>
      <c r="F42">
        <v>1</v>
      </c>
      <c r="G42">
        <f>COUNTIF(E:E,E42)</f>
        <v>110</v>
      </c>
      <c r="H42">
        <f>COUNTIFS(E:E,E42,A:A,A42,D:D,D42)</f>
        <v>1</v>
      </c>
      <c r="I42" t="e">
        <f>SUMIF([1]Mapeamento!$J:$J,A42,[1]Mapeamento!$L:$L)</f>
        <v>#VALUE!</v>
      </c>
      <c r="J42" s="1" t="e">
        <f>SUMIF('[1]Map_Meso-Ox'!$C:$C,A42,'[1]Map_Meso-Ox'!$D:$D)</f>
        <v>#VALUE!</v>
      </c>
      <c r="K42" s="2" t="e">
        <f t="shared" si="0"/>
        <v>#VALUE!</v>
      </c>
      <c r="L42" s="1" t="e">
        <f>SUMIF('[1]Map_Meso-Ox'!$C:$C,A42,'[1]Map_Meso-Ox'!$E:$E)</f>
        <v>#VALUE!</v>
      </c>
      <c r="M42" s="2" t="e">
        <f t="shared" si="1"/>
        <v>#VALUE!</v>
      </c>
    </row>
    <row r="43" spans="1:13" x14ac:dyDescent="0.25">
      <c r="A43">
        <v>42</v>
      </c>
      <c r="B43">
        <v>-1</v>
      </c>
      <c r="C43">
        <v>41.009</v>
      </c>
      <c r="D43">
        <v>3.5200000000000002E-2</v>
      </c>
      <c r="E43" t="s">
        <v>5</v>
      </c>
      <c r="F43">
        <v>0</v>
      </c>
      <c r="G43">
        <f>COUNTIF(E:E,E43)</f>
        <v>110</v>
      </c>
      <c r="H43">
        <f>COUNTIFS(E:E,E43,A:A,A43,D:D,D43)</f>
        <v>1</v>
      </c>
      <c r="I43" t="e">
        <f>SUMIF([1]Mapeamento!$J:$J,A43,[1]Mapeamento!$L:$L)</f>
        <v>#VALUE!</v>
      </c>
      <c r="J43" s="1" t="e">
        <f>SUMIF('[1]Map_Meso-Ox'!$C:$C,A43,'[1]Map_Meso-Ox'!$D:$D)</f>
        <v>#VALUE!</v>
      </c>
      <c r="K43" s="2" t="e">
        <f t="shared" si="0"/>
        <v>#VALUE!</v>
      </c>
      <c r="L43" s="1" t="e">
        <f>SUMIF('[1]Map_Meso-Ox'!$C:$C,A43,'[1]Map_Meso-Ox'!$E:$E)</f>
        <v>#VALUE!</v>
      </c>
      <c r="M43" s="2" t="e">
        <f t="shared" si="1"/>
        <v>#VALUE!</v>
      </c>
    </row>
    <row r="44" spans="1:13" x14ac:dyDescent="0.25">
      <c r="A44">
        <v>43</v>
      </c>
      <c r="B44">
        <v>-1</v>
      </c>
      <c r="C44">
        <v>21.925999999999998</v>
      </c>
      <c r="D44">
        <v>0.42209999999999998</v>
      </c>
      <c r="E44" t="s">
        <v>5</v>
      </c>
      <c r="F44">
        <v>0</v>
      </c>
      <c r="G44">
        <f>COUNTIF(E:E,E44)</f>
        <v>110</v>
      </c>
      <c r="H44">
        <f>COUNTIFS(E:E,E44,A:A,A44,D:D,D44)</f>
        <v>1</v>
      </c>
      <c r="I44" t="e">
        <f>SUMIF([1]Mapeamento!$J:$J,A44,[1]Mapeamento!$L:$L)</f>
        <v>#VALUE!</v>
      </c>
      <c r="J44" s="1" t="e">
        <f>SUMIF('[1]Map_Meso-Ox'!$C:$C,A44,'[1]Map_Meso-Ox'!$D:$D)</f>
        <v>#VALUE!</v>
      </c>
      <c r="K44" s="2" t="e">
        <f t="shared" si="0"/>
        <v>#VALUE!</v>
      </c>
      <c r="L44" s="1" t="e">
        <f>SUMIF('[1]Map_Meso-Ox'!$C:$C,A44,'[1]Map_Meso-Ox'!$E:$E)</f>
        <v>#VALUE!</v>
      </c>
      <c r="M44" s="2" t="e">
        <f t="shared" si="1"/>
        <v>#VALUE!</v>
      </c>
    </row>
    <row r="45" spans="1:13" x14ac:dyDescent="0.25">
      <c r="A45">
        <v>44</v>
      </c>
      <c r="B45">
        <v>-1</v>
      </c>
      <c r="C45">
        <v>35.366</v>
      </c>
      <c r="D45">
        <v>8.5400000000000004E-2</v>
      </c>
      <c r="E45" t="s">
        <v>5</v>
      </c>
      <c r="F45">
        <v>0</v>
      </c>
      <c r="G45">
        <f>COUNTIF(E:E,E45)</f>
        <v>110</v>
      </c>
      <c r="H45">
        <f>COUNTIFS(E:E,E45,A:A,A45,D:D,D45)</f>
        <v>1</v>
      </c>
      <c r="I45" t="e">
        <f>SUMIF([1]Mapeamento!$J:$J,A45,[1]Mapeamento!$L:$L)</f>
        <v>#VALUE!</v>
      </c>
      <c r="J45" s="1" t="e">
        <f>SUMIF('[1]Map_Meso-Ox'!$C:$C,A45,'[1]Map_Meso-Ox'!$D:$D)</f>
        <v>#VALUE!</v>
      </c>
      <c r="K45" s="2" t="e">
        <f t="shared" si="0"/>
        <v>#VALUE!</v>
      </c>
      <c r="L45" s="1" t="e">
        <f>SUMIF('[1]Map_Meso-Ox'!$C:$C,A45,'[1]Map_Meso-Ox'!$E:$E)</f>
        <v>#VALUE!</v>
      </c>
      <c r="M45" s="2" t="e">
        <f t="shared" si="1"/>
        <v>#VALUE!</v>
      </c>
    </row>
    <row r="46" spans="1:13" x14ac:dyDescent="0.25">
      <c r="A46">
        <v>45</v>
      </c>
      <c r="B46">
        <v>-1</v>
      </c>
      <c r="C46">
        <v>49.363</v>
      </c>
      <c r="D46">
        <v>0</v>
      </c>
      <c r="E46" t="s">
        <v>5</v>
      </c>
      <c r="F46">
        <v>2</v>
      </c>
      <c r="G46">
        <f>COUNTIF(E:E,E46)</f>
        <v>110</v>
      </c>
      <c r="H46">
        <f>COUNTIFS(E:E,E46,A:A,A46,D:D,D46)</f>
        <v>1</v>
      </c>
      <c r="I46" t="e">
        <f>SUMIF([1]Mapeamento!$J:$J,A46,[1]Mapeamento!$L:$L)</f>
        <v>#VALUE!</v>
      </c>
      <c r="J46" s="1" t="e">
        <f>SUMIF('[1]Map_Meso-Ox'!$C:$C,A46,'[1]Map_Meso-Ox'!$D:$D)</f>
        <v>#VALUE!</v>
      </c>
      <c r="K46" s="2" t="e">
        <f t="shared" si="0"/>
        <v>#VALUE!</v>
      </c>
      <c r="L46" s="1" t="e">
        <f>SUMIF('[1]Map_Meso-Ox'!$C:$C,A46,'[1]Map_Meso-Ox'!$E:$E)</f>
        <v>#VALUE!</v>
      </c>
      <c r="M46" s="2" t="e">
        <f t="shared" si="1"/>
        <v>#VALUE!</v>
      </c>
    </row>
    <row r="47" spans="1:13" x14ac:dyDescent="0.25">
      <c r="A47">
        <v>46</v>
      </c>
      <c r="B47">
        <v>-1</v>
      </c>
      <c r="C47">
        <v>45.241999999999997</v>
      </c>
      <c r="D47">
        <v>3.5200000000000002E-2</v>
      </c>
      <c r="E47" t="s">
        <v>5</v>
      </c>
      <c r="F47">
        <v>0</v>
      </c>
      <c r="G47">
        <f>COUNTIF(E:E,E47)</f>
        <v>110</v>
      </c>
      <c r="H47">
        <f>COUNTIFS(E:E,E47,A:A,A47,D:D,D47)</f>
        <v>1</v>
      </c>
      <c r="I47" t="e">
        <f>SUMIF([1]Mapeamento!$J:$J,A47,[1]Mapeamento!$L:$L)</f>
        <v>#VALUE!</v>
      </c>
      <c r="J47" s="1" t="e">
        <f>SUMIF('[1]Map_Meso-Ox'!$C:$C,A47,'[1]Map_Meso-Ox'!$D:$D)</f>
        <v>#VALUE!</v>
      </c>
      <c r="K47" s="2" t="e">
        <f t="shared" si="0"/>
        <v>#VALUE!</v>
      </c>
      <c r="L47" s="1" t="e">
        <f>SUMIF('[1]Map_Meso-Ox'!$C:$C,A47,'[1]Map_Meso-Ox'!$E:$E)</f>
        <v>#VALUE!</v>
      </c>
      <c r="M47" s="2" t="e">
        <f t="shared" si="1"/>
        <v>#VALUE!</v>
      </c>
    </row>
    <row r="48" spans="1:13" x14ac:dyDescent="0.25">
      <c r="A48">
        <v>47</v>
      </c>
      <c r="B48">
        <v>-1</v>
      </c>
      <c r="C48">
        <v>34.079000000000001</v>
      </c>
      <c r="D48">
        <v>9.0499999999999997E-2</v>
      </c>
      <c r="E48" t="s">
        <v>5</v>
      </c>
      <c r="F48">
        <v>0</v>
      </c>
      <c r="G48">
        <f>COUNTIF(E:E,E48)</f>
        <v>110</v>
      </c>
      <c r="H48">
        <f>COUNTIFS(E:E,E48,A:A,A48,D:D,D48)</f>
        <v>1</v>
      </c>
      <c r="I48" t="e">
        <f>SUMIF([1]Mapeamento!$J:$J,A48,[1]Mapeamento!$L:$L)</f>
        <v>#VALUE!</v>
      </c>
      <c r="J48" s="1" t="e">
        <f>SUMIF('[1]Map_Meso-Ox'!$C:$C,A48,'[1]Map_Meso-Ox'!$D:$D)</f>
        <v>#VALUE!</v>
      </c>
      <c r="K48" s="2" t="e">
        <f t="shared" si="0"/>
        <v>#VALUE!</v>
      </c>
      <c r="L48" s="1" t="e">
        <f>SUMIF('[1]Map_Meso-Ox'!$C:$C,A48,'[1]Map_Meso-Ox'!$E:$E)</f>
        <v>#VALUE!</v>
      </c>
      <c r="M48" s="2" t="e">
        <f t="shared" si="1"/>
        <v>#VALUE!</v>
      </c>
    </row>
    <row r="49" spans="1:13" x14ac:dyDescent="0.25">
      <c r="A49">
        <v>48</v>
      </c>
      <c r="B49">
        <v>-1</v>
      </c>
      <c r="C49">
        <v>26.404</v>
      </c>
      <c r="D49">
        <v>0.27639999999999998</v>
      </c>
      <c r="E49" t="s">
        <v>5</v>
      </c>
      <c r="F49">
        <v>0</v>
      </c>
      <c r="G49">
        <f>COUNTIF(E:E,E49)</f>
        <v>110</v>
      </c>
      <c r="H49">
        <f>COUNTIFS(E:E,E49,A:A,A49,D:D,D49)</f>
        <v>1</v>
      </c>
      <c r="I49" t="e">
        <f>SUMIF([1]Mapeamento!$J:$J,A49,[1]Mapeamento!$L:$L)</f>
        <v>#VALUE!</v>
      </c>
      <c r="J49" s="1" t="e">
        <f>SUMIF('[1]Map_Meso-Ox'!$C:$C,A49,'[1]Map_Meso-Ox'!$D:$D)</f>
        <v>#VALUE!</v>
      </c>
      <c r="K49" s="2" t="e">
        <f t="shared" si="0"/>
        <v>#VALUE!</v>
      </c>
      <c r="L49" s="1" t="e">
        <f>SUMIF('[1]Map_Meso-Ox'!$C:$C,A49,'[1]Map_Meso-Ox'!$E:$E)</f>
        <v>#VALUE!</v>
      </c>
      <c r="M49" s="2" t="e">
        <f t="shared" si="1"/>
        <v>#VALUE!</v>
      </c>
    </row>
    <row r="50" spans="1:13" x14ac:dyDescent="0.25">
      <c r="A50">
        <v>49</v>
      </c>
      <c r="B50">
        <v>-1</v>
      </c>
      <c r="C50">
        <v>30.337</v>
      </c>
      <c r="D50">
        <v>0.2412</v>
      </c>
      <c r="E50" t="s">
        <v>5</v>
      </c>
      <c r="F50">
        <v>0</v>
      </c>
      <c r="G50">
        <f>COUNTIF(E:E,E50)</f>
        <v>110</v>
      </c>
      <c r="H50">
        <f>COUNTIFS(E:E,E50,A:A,A50,D:D,D50)</f>
        <v>1</v>
      </c>
      <c r="I50" t="e">
        <f>SUMIF([1]Mapeamento!$J:$J,A50,[1]Mapeamento!$L:$L)</f>
        <v>#VALUE!</v>
      </c>
      <c r="J50" s="1" t="e">
        <f>SUMIF('[1]Map_Meso-Ox'!$C:$C,A50,'[1]Map_Meso-Ox'!$D:$D)</f>
        <v>#VALUE!</v>
      </c>
      <c r="K50" s="2" t="e">
        <f t="shared" si="0"/>
        <v>#VALUE!</v>
      </c>
      <c r="L50" s="1" t="e">
        <f>SUMIF('[1]Map_Meso-Ox'!$C:$C,A50,'[1]Map_Meso-Ox'!$E:$E)</f>
        <v>#VALUE!</v>
      </c>
      <c r="M50" s="2" t="e">
        <f t="shared" si="1"/>
        <v>#VALUE!</v>
      </c>
    </row>
    <row r="51" spans="1:13" x14ac:dyDescent="0.25">
      <c r="A51">
        <v>50</v>
      </c>
      <c r="B51">
        <v>-1</v>
      </c>
      <c r="C51">
        <v>45.902000000000001</v>
      </c>
      <c r="D51">
        <v>1.01E-2</v>
      </c>
      <c r="E51" t="s">
        <v>5</v>
      </c>
      <c r="F51">
        <v>0</v>
      </c>
      <c r="G51">
        <f>COUNTIF(E:E,E51)</f>
        <v>110</v>
      </c>
      <c r="H51">
        <f>COUNTIFS(E:E,E51,A:A,A51,D:D,D51)</f>
        <v>1</v>
      </c>
      <c r="I51" t="e">
        <f>SUMIF([1]Mapeamento!$J:$J,A51,[1]Mapeamento!$L:$L)</f>
        <v>#VALUE!</v>
      </c>
      <c r="J51" s="1" t="e">
        <f>SUMIF('[1]Map_Meso-Ox'!$C:$C,A51,'[1]Map_Meso-Ox'!$D:$D)</f>
        <v>#VALUE!</v>
      </c>
      <c r="K51" s="2" t="e">
        <f t="shared" si="0"/>
        <v>#VALUE!</v>
      </c>
      <c r="L51" s="1" t="e">
        <f>SUMIF('[1]Map_Meso-Ox'!$C:$C,A51,'[1]Map_Meso-Ox'!$E:$E)</f>
        <v>#VALUE!</v>
      </c>
      <c r="M51" s="2" t="e">
        <f t="shared" si="1"/>
        <v>#VALUE!</v>
      </c>
    </row>
    <row r="52" spans="1:13" x14ac:dyDescent="0.25">
      <c r="A52">
        <v>51</v>
      </c>
      <c r="B52">
        <v>-1</v>
      </c>
      <c r="C52">
        <v>29.823</v>
      </c>
      <c r="D52">
        <v>0.36680000000000001</v>
      </c>
      <c r="E52" t="s">
        <v>5</v>
      </c>
      <c r="F52">
        <v>0</v>
      </c>
      <c r="G52">
        <f>COUNTIF(E:E,E52)</f>
        <v>110</v>
      </c>
      <c r="H52">
        <f>COUNTIFS(E:E,E52,A:A,A52,D:D,D52)</f>
        <v>1</v>
      </c>
      <c r="I52" t="e">
        <f>SUMIF([1]Mapeamento!$J:$J,A52,[1]Mapeamento!$L:$L)</f>
        <v>#VALUE!</v>
      </c>
      <c r="J52" s="1" t="e">
        <f>SUMIF('[1]Map_Meso-Ox'!$C:$C,A52,'[1]Map_Meso-Ox'!$D:$D)</f>
        <v>#VALUE!</v>
      </c>
      <c r="K52" s="2" t="e">
        <f t="shared" si="0"/>
        <v>#VALUE!</v>
      </c>
      <c r="L52" s="1" t="e">
        <f>SUMIF('[1]Map_Meso-Ox'!$C:$C,A52,'[1]Map_Meso-Ox'!$E:$E)</f>
        <v>#VALUE!</v>
      </c>
      <c r="M52" s="2" t="e">
        <f t="shared" si="1"/>
        <v>#VALUE!</v>
      </c>
    </row>
    <row r="53" spans="1:13" x14ac:dyDescent="0.25">
      <c r="A53">
        <v>52</v>
      </c>
      <c r="B53">
        <v>-1</v>
      </c>
      <c r="C53">
        <v>59.337000000000003</v>
      </c>
      <c r="D53">
        <v>0</v>
      </c>
      <c r="E53" t="s">
        <v>5</v>
      </c>
      <c r="F53">
        <v>1</v>
      </c>
      <c r="G53">
        <f>COUNTIF(E:E,E53)</f>
        <v>110</v>
      </c>
      <c r="H53">
        <f>COUNTIFS(E:E,E53,A:A,A53,D:D,D53)</f>
        <v>1</v>
      </c>
      <c r="I53" t="e">
        <f>SUMIF([1]Mapeamento!$J:$J,A53,[1]Mapeamento!$L:$L)</f>
        <v>#VALUE!</v>
      </c>
      <c r="J53" s="1" t="e">
        <f>SUMIF('[1]Map_Meso-Ox'!$C:$C,A53,'[1]Map_Meso-Ox'!$D:$D)</f>
        <v>#VALUE!</v>
      </c>
      <c r="K53" s="2" t="e">
        <f t="shared" si="0"/>
        <v>#VALUE!</v>
      </c>
      <c r="L53" s="1" t="e">
        <f>SUMIF('[1]Map_Meso-Ox'!$C:$C,A53,'[1]Map_Meso-Ox'!$E:$E)</f>
        <v>#VALUE!</v>
      </c>
      <c r="M53" s="2" t="e">
        <f t="shared" si="1"/>
        <v>#VALUE!</v>
      </c>
    </row>
    <row r="54" spans="1:13" x14ac:dyDescent="0.25">
      <c r="A54">
        <v>53</v>
      </c>
      <c r="B54">
        <v>-1</v>
      </c>
      <c r="C54">
        <v>56.776000000000003</v>
      </c>
      <c r="D54">
        <v>0</v>
      </c>
      <c r="E54" t="s">
        <v>5</v>
      </c>
      <c r="F54">
        <v>3</v>
      </c>
      <c r="G54">
        <f>COUNTIF(E:E,E54)</f>
        <v>110</v>
      </c>
      <c r="H54">
        <f>COUNTIFS(E:E,E54,A:A,A54,D:D,D54)</f>
        <v>1</v>
      </c>
      <c r="I54" t="e">
        <f>SUMIF([1]Mapeamento!$J:$J,A54,[1]Mapeamento!$L:$L)</f>
        <v>#VALUE!</v>
      </c>
      <c r="J54" s="1" t="e">
        <f>SUMIF('[1]Map_Meso-Ox'!$C:$C,A54,'[1]Map_Meso-Ox'!$D:$D)</f>
        <v>#VALUE!</v>
      </c>
      <c r="K54" s="2" t="e">
        <f t="shared" si="0"/>
        <v>#VALUE!</v>
      </c>
      <c r="L54" s="1" t="e">
        <f>SUMIF('[1]Map_Meso-Ox'!$C:$C,A54,'[1]Map_Meso-Ox'!$E:$E)</f>
        <v>#VALUE!</v>
      </c>
      <c r="M54" s="2" t="e">
        <f t="shared" si="1"/>
        <v>#VALUE!</v>
      </c>
    </row>
    <row r="55" spans="1:13" x14ac:dyDescent="0.25">
      <c r="A55">
        <v>54</v>
      </c>
      <c r="B55">
        <v>-1</v>
      </c>
      <c r="C55">
        <v>43.718000000000004</v>
      </c>
      <c r="D55">
        <v>1.5100000000000001E-2</v>
      </c>
      <c r="E55" t="s">
        <v>5</v>
      </c>
      <c r="F55">
        <v>1</v>
      </c>
      <c r="G55">
        <f>COUNTIF(E:E,E55)</f>
        <v>110</v>
      </c>
      <c r="H55">
        <f>COUNTIFS(E:E,E55,A:A,A55,D:D,D55)</f>
        <v>1</v>
      </c>
      <c r="I55" t="e">
        <f>SUMIF([1]Mapeamento!$J:$J,A55,[1]Mapeamento!$L:$L)</f>
        <v>#VALUE!</v>
      </c>
      <c r="J55" s="1" t="e">
        <f>SUMIF('[1]Map_Meso-Ox'!$C:$C,A55,'[1]Map_Meso-Ox'!$D:$D)</f>
        <v>#VALUE!</v>
      </c>
      <c r="K55" s="2" t="e">
        <f t="shared" si="0"/>
        <v>#VALUE!</v>
      </c>
      <c r="L55" s="1" t="e">
        <f>SUMIF('[1]Map_Meso-Ox'!$C:$C,A55,'[1]Map_Meso-Ox'!$E:$E)</f>
        <v>#VALUE!</v>
      </c>
      <c r="M55" s="2" t="e">
        <f t="shared" si="1"/>
        <v>#VALUE!</v>
      </c>
    </row>
    <row r="56" spans="1:13" x14ac:dyDescent="0.25">
      <c r="A56">
        <v>55</v>
      </c>
      <c r="B56">
        <v>-1</v>
      </c>
      <c r="C56">
        <v>38.396999999999998</v>
      </c>
      <c r="D56">
        <v>2.5100000000000001E-2</v>
      </c>
      <c r="E56" t="s">
        <v>5</v>
      </c>
      <c r="F56">
        <v>1</v>
      </c>
      <c r="G56">
        <f>COUNTIF(E:E,E56)</f>
        <v>110</v>
      </c>
      <c r="H56">
        <f>COUNTIFS(E:E,E56,A:A,A56,D:D,D56)</f>
        <v>1</v>
      </c>
      <c r="I56" t="e">
        <f>SUMIF([1]Mapeamento!$J:$J,A56,[1]Mapeamento!$L:$L)</f>
        <v>#VALUE!</v>
      </c>
      <c r="J56" s="1" t="e">
        <f>SUMIF('[1]Map_Meso-Ox'!$C:$C,A56,'[1]Map_Meso-Ox'!$D:$D)</f>
        <v>#VALUE!</v>
      </c>
      <c r="K56" s="2" t="e">
        <f t="shared" si="0"/>
        <v>#VALUE!</v>
      </c>
      <c r="L56" s="1" t="e">
        <f>SUMIF('[1]Map_Meso-Ox'!$C:$C,A56,'[1]Map_Meso-Ox'!$E:$E)</f>
        <v>#VALUE!</v>
      </c>
      <c r="M56" s="2" t="e">
        <f t="shared" si="1"/>
        <v>#VALUE!</v>
      </c>
    </row>
    <row r="57" spans="1:13" x14ac:dyDescent="0.25">
      <c r="A57">
        <v>56</v>
      </c>
      <c r="B57">
        <v>-1</v>
      </c>
      <c r="C57">
        <v>41.277000000000001</v>
      </c>
      <c r="D57">
        <v>2.5100000000000001E-2</v>
      </c>
      <c r="E57" t="s">
        <v>5</v>
      </c>
      <c r="F57">
        <v>1</v>
      </c>
      <c r="G57">
        <f>COUNTIF(E:E,E57)</f>
        <v>110</v>
      </c>
      <c r="H57">
        <f>COUNTIFS(E:E,E57,A:A,A57,D:D,D57)</f>
        <v>1</v>
      </c>
      <c r="I57" t="e">
        <f>SUMIF([1]Mapeamento!$J:$J,A57,[1]Mapeamento!$L:$L)</f>
        <v>#VALUE!</v>
      </c>
      <c r="J57" s="1" t="e">
        <f>SUMIF('[1]Map_Meso-Ox'!$C:$C,A57,'[1]Map_Meso-Ox'!$D:$D)</f>
        <v>#VALUE!</v>
      </c>
      <c r="K57" s="2" t="e">
        <f t="shared" si="0"/>
        <v>#VALUE!</v>
      </c>
      <c r="L57" s="1" t="e">
        <f>SUMIF('[1]Map_Meso-Ox'!$C:$C,A57,'[1]Map_Meso-Ox'!$E:$E)</f>
        <v>#VALUE!</v>
      </c>
      <c r="M57" s="2" t="e">
        <f t="shared" si="1"/>
        <v>#VALUE!</v>
      </c>
    </row>
    <row r="58" spans="1:13" x14ac:dyDescent="0.25">
      <c r="A58">
        <v>57</v>
      </c>
      <c r="B58">
        <v>-1</v>
      </c>
      <c r="C58">
        <v>37.155000000000001</v>
      </c>
      <c r="D58">
        <v>6.0299999999999999E-2</v>
      </c>
      <c r="E58" t="s">
        <v>5</v>
      </c>
      <c r="F58">
        <v>0</v>
      </c>
      <c r="G58">
        <f>COUNTIF(E:E,E58)</f>
        <v>110</v>
      </c>
      <c r="H58">
        <f>COUNTIFS(E:E,E58,A:A,A58,D:D,D58)</f>
        <v>1</v>
      </c>
      <c r="I58" t="e">
        <f>SUMIF([1]Mapeamento!$J:$J,A58,[1]Mapeamento!$L:$L)</f>
        <v>#VALUE!</v>
      </c>
      <c r="J58" s="1" t="e">
        <f>SUMIF('[1]Map_Meso-Ox'!$C:$C,A58,'[1]Map_Meso-Ox'!$D:$D)</f>
        <v>#VALUE!</v>
      </c>
      <c r="K58" s="2" t="e">
        <f t="shared" si="0"/>
        <v>#VALUE!</v>
      </c>
      <c r="L58" s="1" t="e">
        <f>SUMIF('[1]Map_Meso-Ox'!$C:$C,A58,'[1]Map_Meso-Ox'!$E:$E)</f>
        <v>#VALUE!</v>
      </c>
      <c r="M58" s="2" t="e">
        <f t="shared" si="1"/>
        <v>#VALUE!</v>
      </c>
    </row>
    <row r="59" spans="1:13" x14ac:dyDescent="0.25">
      <c r="A59">
        <v>58</v>
      </c>
      <c r="B59">
        <v>-1</v>
      </c>
      <c r="C59">
        <v>26.806000000000001</v>
      </c>
      <c r="D59">
        <v>0.12559999999999999</v>
      </c>
      <c r="E59" t="s">
        <v>5</v>
      </c>
      <c r="F59">
        <v>1</v>
      </c>
      <c r="G59">
        <f>COUNTIF(E:E,E59)</f>
        <v>110</v>
      </c>
      <c r="H59">
        <f>COUNTIFS(E:E,E59,A:A,A59,D:D,D59)</f>
        <v>1</v>
      </c>
      <c r="I59" t="e">
        <f>SUMIF([1]Mapeamento!$J:$J,A59,[1]Mapeamento!$L:$L)</f>
        <v>#VALUE!</v>
      </c>
      <c r="J59" s="1" t="e">
        <f>SUMIF('[1]Map_Meso-Ox'!$C:$C,A59,'[1]Map_Meso-Ox'!$D:$D)</f>
        <v>#VALUE!</v>
      </c>
      <c r="K59" s="2" t="e">
        <f t="shared" si="0"/>
        <v>#VALUE!</v>
      </c>
      <c r="L59" s="1" t="e">
        <f>SUMIF('[1]Map_Meso-Ox'!$C:$C,A59,'[1]Map_Meso-Ox'!$E:$E)</f>
        <v>#VALUE!</v>
      </c>
      <c r="M59" s="2" t="e">
        <f t="shared" si="1"/>
        <v>#VALUE!</v>
      </c>
    </row>
    <row r="60" spans="1:13" x14ac:dyDescent="0.25">
      <c r="A60">
        <v>59</v>
      </c>
      <c r="B60">
        <v>-1</v>
      </c>
      <c r="C60">
        <v>30.402000000000001</v>
      </c>
      <c r="D60">
        <v>0.1206</v>
      </c>
      <c r="E60" t="s">
        <v>5</v>
      </c>
      <c r="F60">
        <v>1</v>
      </c>
      <c r="G60">
        <f>COUNTIF(E:E,E60)</f>
        <v>110</v>
      </c>
      <c r="H60">
        <f>COUNTIFS(E:E,E60,A:A,A60,D:D,D60)</f>
        <v>1</v>
      </c>
      <c r="I60" t="e">
        <f>SUMIF([1]Mapeamento!$J:$J,A60,[1]Mapeamento!$L:$L)</f>
        <v>#VALUE!</v>
      </c>
      <c r="J60" s="1" t="e">
        <f>SUMIF('[1]Map_Meso-Ox'!$C:$C,A60,'[1]Map_Meso-Ox'!$D:$D)</f>
        <v>#VALUE!</v>
      </c>
      <c r="K60" s="2" t="e">
        <f t="shared" si="0"/>
        <v>#VALUE!</v>
      </c>
      <c r="L60" s="1" t="e">
        <f>SUMIF('[1]Map_Meso-Ox'!$C:$C,A60,'[1]Map_Meso-Ox'!$E:$E)</f>
        <v>#VALUE!</v>
      </c>
      <c r="M60" s="2" t="e">
        <f t="shared" si="1"/>
        <v>#VALUE!</v>
      </c>
    </row>
    <row r="61" spans="1:13" x14ac:dyDescent="0.25">
      <c r="A61">
        <v>60</v>
      </c>
      <c r="B61">
        <v>-1</v>
      </c>
      <c r="C61">
        <v>43.631999999999998</v>
      </c>
      <c r="D61">
        <v>1.5100000000000001E-2</v>
      </c>
      <c r="E61" t="s">
        <v>5</v>
      </c>
      <c r="F61">
        <v>1</v>
      </c>
      <c r="G61">
        <f>COUNTIF(E:E,E61)</f>
        <v>110</v>
      </c>
      <c r="H61">
        <f>COUNTIFS(E:E,E61,A:A,A61,D:D,D61)</f>
        <v>1</v>
      </c>
      <c r="I61" t="e">
        <f>SUMIF([1]Mapeamento!$J:$J,A61,[1]Mapeamento!$L:$L)</f>
        <v>#VALUE!</v>
      </c>
      <c r="J61" s="1" t="e">
        <f>SUMIF('[1]Map_Meso-Ox'!$C:$C,A61,'[1]Map_Meso-Ox'!$D:$D)</f>
        <v>#VALUE!</v>
      </c>
      <c r="K61" s="2" t="e">
        <f t="shared" si="0"/>
        <v>#VALUE!</v>
      </c>
      <c r="L61" s="1" t="e">
        <f>SUMIF('[1]Map_Meso-Ox'!$C:$C,A61,'[1]Map_Meso-Ox'!$E:$E)</f>
        <v>#VALUE!</v>
      </c>
      <c r="M61" s="2" t="e">
        <f t="shared" si="1"/>
        <v>#VALUE!</v>
      </c>
    </row>
    <row r="62" spans="1:13" x14ac:dyDescent="0.25">
      <c r="A62">
        <v>61</v>
      </c>
      <c r="B62">
        <v>-1</v>
      </c>
      <c r="C62">
        <v>32.755000000000003</v>
      </c>
      <c r="D62">
        <v>0.1206</v>
      </c>
      <c r="E62" t="s">
        <v>5</v>
      </c>
      <c r="F62">
        <v>0</v>
      </c>
      <c r="G62">
        <f>COUNTIF(E:E,E62)</f>
        <v>110</v>
      </c>
      <c r="H62">
        <f>COUNTIFS(E:E,E62,A:A,A62,D:D,D62)</f>
        <v>1</v>
      </c>
      <c r="I62" t="e">
        <f>SUMIF([1]Mapeamento!$J:$J,A62,[1]Mapeamento!$L:$L)</f>
        <v>#VALUE!</v>
      </c>
      <c r="J62" s="1" t="e">
        <f>SUMIF('[1]Map_Meso-Ox'!$C:$C,A62,'[1]Map_Meso-Ox'!$D:$D)</f>
        <v>#VALUE!</v>
      </c>
      <c r="K62" s="2" t="e">
        <f t="shared" si="0"/>
        <v>#VALUE!</v>
      </c>
      <c r="L62" s="1" t="e">
        <f>SUMIF('[1]Map_Meso-Ox'!$C:$C,A62,'[1]Map_Meso-Ox'!$E:$E)</f>
        <v>#VALUE!</v>
      </c>
      <c r="M62" s="2" t="e">
        <f t="shared" si="1"/>
        <v>#VALUE!</v>
      </c>
    </row>
    <row r="63" spans="1:13" x14ac:dyDescent="0.25">
      <c r="A63">
        <v>62</v>
      </c>
      <c r="B63">
        <v>-1</v>
      </c>
      <c r="C63">
        <v>40.878</v>
      </c>
      <c r="D63">
        <v>2.5100000000000001E-2</v>
      </c>
      <c r="E63" t="s">
        <v>5</v>
      </c>
      <c r="F63">
        <v>1</v>
      </c>
      <c r="G63">
        <f>COUNTIF(E:E,E63)</f>
        <v>110</v>
      </c>
      <c r="H63">
        <f>COUNTIFS(E:E,E63,A:A,A63,D:D,D63)</f>
        <v>1</v>
      </c>
      <c r="I63" t="e">
        <f>SUMIF([1]Mapeamento!$J:$J,A63,[1]Mapeamento!$L:$L)</f>
        <v>#VALUE!</v>
      </c>
      <c r="J63" s="1" t="e">
        <f>SUMIF('[1]Map_Meso-Ox'!$C:$C,A63,'[1]Map_Meso-Ox'!$D:$D)</f>
        <v>#VALUE!</v>
      </c>
      <c r="K63" s="2" t="e">
        <f t="shared" si="0"/>
        <v>#VALUE!</v>
      </c>
      <c r="L63" s="1" t="e">
        <f>SUMIF('[1]Map_Meso-Ox'!$C:$C,A63,'[1]Map_Meso-Ox'!$E:$E)</f>
        <v>#VALUE!</v>
      </c>
      <c r="M63" s="2" t="e">
        <f t="shared" si="1"/>
        <v>#VALUE!</v>
      </c>
    </row>
    <row r="64" spans="1:13" x14ac:dyDescent="0.25">
      <c r="A64">
        <v>63</v>
      </c>
      <c r="B64">
        <v>-1</v>
      </c>
      <c r="C64">
        <v>36.545000000000002</v>
      </c>
      <c r="D64">
        <v>4.5199999999999997E-2</v>
      </c>
      <c r="E64" t="s">
        <v>5</v>
      </c>
      <c r="F64">
        <v>1</v>
      </c>
      <c r="G64">
        <f>COUNTIF(E:E,E64)</f>
        <v>110</v>
      </c>
      <c r="H64">
        <f>COUNTIFS(E:E,E64,A:A,A64,D:D,D64)</f>
        <v>1</v>
      </c>
      <c r="I64" t="e">
        <f>SUMIF([1]Mapeamento!$J:$J,A64,[1]Mapeamento!$L:$L)</f>
        <v>#VALUE!</v>
      </c>
      <c r="J64" s="1" t="e">
        <f>SUMIF('[1]Map_Meso-Ox'!$C:$C,A64,'[1]Map_Meso-Ox'!$D:$D)</f>
        <v>#VALUE!</v>
      </c>
      <c r="K64" s="2" t="e">
        <f t="shared" si="0"/>
        <v>#VALUE!</v>
      </c>
      <c r="L64" s="1" t="e">
        <f>SUMIF('[1]Map_Meso-Ox'!$C:$C,A64,'[1]Map_Meso-Ox'!$E:$E)</f>
        <v>#VALUE!</v>
      </c>
      <c r="M64" s="2" t="e">
        <f t="shared" si="1"/>
        <v>#VALUE!</v>
      </c>
    </row>
    <row r="65" spans="1:13" x14ac:dyDescent="0.25">
      <c r="A65">
        <v>64</v>
      </c>
      <c r="B65">
        <v>-1</v>
      </c>
      <c r="C65">
        <v>38.734000000000002</v>
      </c>
      <c r="D65">
        <v>3.0200000000000001E-2</v>
      </c>
      <c r="E65" t="s">
        <v>5</v>
      </c>
      <c r="F65">
        <v>0</v>
      </c>
      <c r="G65">
        <f>COUNTIF(E:E,E65)</f>
        <v>110</v>
      </c>
      <c r="H65">
        <f>COUNTIFS(E:E,E65,A:A,A65,D:D,D65)</f>
        <v>1</v>
      </c>
      <c r="I65" t="e">
        <f>SUMIF([1]Mapeamento!$J:$J,A65,[1]Mapeamento!$L:$L)</f>
        <v>#VALUE!</v>
      </c>
      <c r="J65" s="1" t="e">
        <f>SUMIF('[1]Map_Meso-Ox'!$C:$C,A65,'[1]Map_Meso-Ox'!$D:$D)</f>
        <v>#VALUE!</v>
      </c>
      <c r="K65" s="2" t="e">
        <f t="shared" si="0"/>
        <v>#VALUE!</v>
      </c>
      <c r="L65" s="1" t="e">
        <f>SUMIF('[1]Map_Meso-Ox'!$C:$C,A65,'[1]Map_Meso-Ox'!$E:$E)</f>
        <v>#VALUE!</v>
      </c>
      <c r="M65" s="2" t="e">
        <f t="shared" si="1"/>
        <v>#VALUE!</v>
      </c>
    </row>
    <row r="66" spans="1:13" x14ac:dyDescent="0.25">
      <c r="A66">
        <v>65</v>
      </c>
      <c r="B66">
        <v>-1</v>
      </c>
      <c r="C66">
        <v>53.276000000000003</v>
      </c>
      <c r="D66">
        <v>0</v>
      </c>
      <c r="E66" t="s">
        <v>5</v>
      </c>
      <c r="F66">
        <v>2</v>
      </c>
      <c r="G66">
        <f>COUNTIF(E:E,E66)</f>
        <v>110</v>
      </c>
      <c r="H66">
        <f>COUNTIFS(E:E,E66,A:A,A66,D:D,D66)</f>
        <v>1</v>
      </c>
      <c r="I66" t="e">
        <f>SUMIF([1]Mapeamento!$J:$J,A66,[1]Mapeamento!$L:$L)</f>
        <v>#VALUE!</v>
      </c>
      <c r="J66" s="1" t="e">
        <f>SUMIF('[1]Map_Meso-Ox'!$C:$C,A66,'[1]Map_Meso-Ox'!$D:$D)</f>
        <v>#VALUE!</v>
      </c>
      <c r="K66" s="2" t="e">
        <f t="shared" si="0"/>
        <v>#VALUE!</v>
      </c>
      <c r="L66" s="1" t="e">
        <f>SUMIF('[1]Map_Meso-Ox'!$C:$C,A66,'[1]Map_Meso-Ox'!$E:$E)</f>
        <v>#VALUE!</v>
      </c>
      <c r="M66" s="2" t="e">
        <f t="shared" si="1"/>
        <v>#VALUE!</v>
      </c>
    </row>
    <row r="67" spans="1:13" x14ac:dyDescent="0.25">
      <c r="A67">
        <v>66</v>
      </c>
      <c r="B67">
        <v>-1</v>
      </c>
      <c r="C67">
        <v>31.838999999999999</v>
      </c>
      <c r="D67">
        <v>3.0200000000000001E-2</v>
      </c>
      <c r="E67" t="s">
        <v>5</v>
      </c>
      <c r="F67">
        <v>1</v>
      </c>
      <c r="G67">
        <f>COUNTIF(E:E,E67)</f>
        <v>110</v>
      </c>
      <c r="H67">
        <f>COUNTIFS(E:E,E67,A:A,A67,D:D,D67)</f>
        <v>1</v>
      </c>
      <c r="I67" t="e">
        <f>SUMIF([1]Mapeamento!$J:$J,A67,[1]Mapeamento!$L:$L)</f>
        <v>#VALUE!</v>
      </c>
      <c r="J67" s="1" t="e">
        <f>SUMIF('[1]Map_Meso-Ox'!$C:$C,A67,'[1]Map_Meso-Ox'!$D:$D)</f>
        <v>#VALUE!</v>
      </c>
      <c r="K67" s="2" t="e">
        <f t="shared" ref="K67:K130" si="2">J67/203401269</f>
        <v>#VALUE!</v>
      </c>
      <c r="L67" s="1" t="e">
        <f>SUMIF('[1]Map_Meso-Ox'!$C:$C,A67,'[1]Map_Meso-Ox'!$E:$E)</f>
        <v>#VALUE!</v>
      </c>
      <c r="M67" s="2" t="e">
        <f t="shared" ref="M67:M130" si="3">L67/3868725997.715</f>
        <v>#VALUE!</v>
      </c>
    </row>
    <row r="68" spans="1:13" x14ac:dyDescent="0.25">
      <c r="A68">
        <v>67</v>
      </c>
      <c r="B68">
        <v>-1</v>
      </c>
      <c r="C68">
        <v>57.244</v>
      </c>
      <c r="D68">
        <v>0</v>
      </c>
      <c r="E68" t="s">
        <v>5</v>
      </c>
      <c r="F68">
        <v>1</v>
      </c>
      <c r="G68">
        <f>COUNTIF(E:E,E68)</f>
        <v>110</v>
      </c>
      <c r="H68">
        <f>COUNTIFS(E:E,E68,A:A,A68,D:D,D68)</f>
        <v>1</v>
      </c>
      <c r="I68" t="e">
        <f>SUMIF([1]Mapeamento!$J:$J,A68,[1]Mapeamento!$L:$L)</f>
        <v>#VALUE!</v>
      </c>
      <c r="J68" s="1" t="e">
        <f>SUMIF('[1]Map_Meso-Ox'!$C:$C,A68,'[1]Map_Meso-Ox'!$D:$D)</f>
        <v>#VALUE!</v>
      </c>
      <c r="K68" s="2" t="e">
        <f t="shared" si="2"/>
        <v>#VALUE!</v>
      </c>
      <c r="L68" s="1" t="e">
        <f>SUMIF('[1]Map_Meso-Ox'!$C:$C,A68,'[1]Map_Meso-Ox'!$E:$E)</f>
        <v>#VALUE!</v>
      </c>
      <c r="M68" s="2" t="e">
        <f t="shared" si="3"/>
        <v>#VALUE!</v>
      </c>
    </row>
    <row r="69" spans="1:13" x14ac:dyDescent="0.25">
      <c r="A69">
        <v>68</v>
      </c>
      <c r="B69">
        <v>-1</v>
      </c>
      <c r="C69">
        <v>58.180999999999997</v>
      </c>
      <c r="D69">
        <v>0</v>
      </c>
      <c r="E69" t="s">
        <v>5</v>
      </c>
      <c r="F69">
        <v>3</v>
      </c>
      <c r="G69">
        <f>COUNTIF(E:E,E69)</f>
        <v>110</v>
      </c>
      <c r="H69">
        <f>COUNTIFS(E:E,E69,A:A,A69,D:D,D69)</f>
        <v>1</v>
      </c>
      <c r="I69" t="e">
        <f>SUMIF([1]Mapeamento!$J:$J,A69,[1]Mapeamento!$L:$L)</f>
        <v>#VALUE!</v>
      </c>
      <c r="J69" s="1" t="e">
        <f>SUMIF('[1]Map_Meso-Ox'!$C:$C,A69,'[1]Map_Meso-Ox'!$D:$D)</f>
        <v>#VALUE!</v>
      </c>
      <c r="K69" s="2" t="e">
        <f t="shared" si="2"/>
        <v>#VALUE!</v>
      </c>
      <c r="L69" s="1" t="e">
        <f>SUMIF('[1]Map_Meso-Ox'!$C:$C,A69,'[1]Map_Meso-Ox'!$E:$E)</f>
        <v>#VALUE!</v>
      </c>
      <c r="M69" s="2" t="e">
        <f t="shared" si="3"/>
        <v>#VALUE!</v>
      </c>
    </row>
    <row r="70" spans="1:13" x14ac:dyDescent="0.25">
      <c r="A70">
        <v>69</v>
      </c>
      <c r="B70">
        <v>-1</v>
      </c>
      <c r="C70">
        <v>33.866999999999997</v>
      </c>
      <c r="D70">
        <v>7.5399999999999995E-2</v>
      </c>
      <c r="E70" t="s">
        <v>5</v>
      </c>
      <c r="F70">
        <v>0</v>
      </c>
      <c r="G70">
        <f>COUNTIF(E:E,E70)</f>
        <v>110</v>
      </c>
      <c r="H70">
        <f>COUNTIFS(E:E,E70,A:A,A70,D:D,D70)</f>
        <v>1</v>
      </c>
      <c r="I70" t="e">
        <f>SUMIF([1]Mapeamento!$J:$J,A70,[1]Mapeamento!$L:$L)</f>
        <v>#VALUE!</v>
      </c>
      <c r="J70" s="1" t="e">
        <f>SUMIF('[1]Map_Meso-Ox'!$C:$C,A70,'[1]Map_Meso-Ox'!$D:$D)</f>
        <v>#VALUE!</v>
      </c>
      <c r="K70" s="2" t="e">
        <f t="shared" si="2"/>
        <v>#VALUE!</v>
      </c>
      <c r="L70" s="1" t="e">
        <f>SUMIF('[1]Map_Meso-Ox'!$C:$C,A70,'[1]Map_Meso-Ox'!$E:$E)</f>
        <v>#VALUE!</v>
      </c>
      <c r="M70" s="2" t="e">
        <f t="shared" si="3"/>
        <v>#VALUE!</v>
      </c>
    </row>
    <row r="71" spans="1:13" x14ac:dyDescent="0.25">
      <c r="A71">
        <v>70</v>
      </c>
      <c r="B71">
        <v>-1</v>
      </c>
      <c r="C71">
        <v>40.073</v>
      </c>
      <c r="D71">
        <v>1.5100000000000001E-2</v>
      </c>
      <c r="E71" t="s">
        <v>5</v>
      </c>
      <c r="F71">
        <v>1</v>
      </c>
      <c r="G71">
        <f>COUNTIF(E:E,E71)</f>
        <v>110</v>
      </c>
      <c r="H71">
        <f>COUNTIFS(E:E,E71,A:A,A71,D:D,D71)</f>
        <v>1</v>
      </c>
      <c r="I71" t="e">
        <f>SUMIF([1]Mapeamento!$J:$J,A71,[1]Mapeamento!$L:$L)</f>
        <v>#VALUE!</v>
      </c>
      <c r="J71" s="1" t="e">
        <f>SUMIF('[1]Map_Meso-Ox'!$C:$C,A71,'[1]Map_Meso-Ox'!$D:$D)</f>
        <v>#VALUE!</v>
      </c>
      <c r="K71" s="2" t="e">
        <f t="shared" si="2"/>
        <v>#VALUE!</v>
      </c>
      <c r="L71" s="1" t="e">
        <f>SUMIF('[1]Map_Meso-Ox'!$C:$C,A71,'[1]Map_Meso-Ox'!$E:$E)</f>
        <v>#VALUE!</v>
      </c>
      <c r="M71" s="2" t="e">
        <f t="shared" si="3"/>
        <v>#VALUE!</v>
      </c>
    </row>
    <row r="72" spans="1:13" x14ac:dyDescent="0.25">
      <c r="A72">
        <v>71</v>
      </c>
      <c r="B72">
        <v>-1</v>
      </c>
      <c r="C72">
        <v>23.975999999999999</v>
      </c>
      <c r="D72">
        <v>0.1759</v>
      </c>
      <c r="E72" t="s">
        <v>5</v>
      </c>
      <c r="F72">
        <v>2</v>
      </c>
      <c r="G72">
        <f>COUNTIF(E:E,E72)</f>
        <v>110</v>
      </c>
      <c r="H72">
        <f>COUNTIFS(E:E,E72,A:A,A72,D:D,D72)</f>
        <v>1</v>
      </c>
      <c r="I72" t="e">
        <f>SUMIF([1]Mapeamento!$J:$J,A72,[1]Mapeamento!$L:$L)</f>
        <v>#VALUE!</v>
      </c>
      <c r="J72" s="1" t="e">
        <f>SUMIF('[1]Map_Meso-Ox'!$C:$C,A72,'[1]Map_Meso-Ox'!$D:$D)</f>
        <v>#VALUE!</v>
      </c>
      <c r="K72" s="2" t="e">
        <f t="shared" si="2"/>
        <v>#VALUE!</v>
      </c>
      <c r="L72" s="1" t="e">
        <f>SUMIF('[1]Map_Meso-Ox'!$C:$C,A72,'[1]Map_Meso-Ox'!$E:$E)</f>
        <v>#VALUE!</v>
      </c>
      <c r="M72" s="2" t="e">
        <f t="shared" si="3"/>
        <v>#VALUE!</v>
      </c>
    </row>
    <row r="73" spans="1:13" x14ac:dyDescent="0.25">
      <c r="A73">
        <v>72</v>
      </c>
      <c r="B73">
        <v>-1</v>
      </c>
      <c r="C73">
        <v>49.258000000000003</v>
      </c>
      <c r="D73">
        <v>5.0000000000000001E-3</v>
      </c>
      <c r="E73" t="s">
        <v>5</v>
      </c>
      <c r="F73">
        <v>1</v>
      </c>
      <c r="G73">
        <f>COUNTIF(E:E,E73)</f>
        <v>110</v>
      </c>
      <c r="H73">
        <f>COUNTIFS(E:E,E73,A:A,A73,D:D,D73)</f>
        <v>1</v>
      </c>
      <c r="I73" t="e">
        <f>SUMIF([1]Mapeamento!$J:$J,A73,[1]Mapeamento!$L:$L)</f>
        <v>#VALUE!</v>
      </c>
      <c r="J73" s="1" t="e">
        <f>SUMIF('[1]Map_Meso-Ox'!$C:$C,A73,'[1]Map_Meso-Ox'!$D:$D)</f>
        <v>#VALUE!</v>
      </c>
      <c r="K73" s="2" t="e">
        <f t="shared" si="2"/>
        <v>#VALUE!</v>
      </c>
      <c r="L73" s="1" t="e">
        <f>SUMIF('[1]Map_Meso-Ox'!$C:$C,A73,'[1]Map_Meso-Ox'!$E:$E)</f>
        <v>#VALUE!</v>
      </c>
      <c r="M73" s="2" t="e">
        <f t="shared" si="3"/>
        <v>#VALUE!</v>
      </c>
    </row>
    <row r="74" spans="1:13" x14ac:dyDescent="0.25">
      <c r="A74">
        <v>73</v>
      </c>
      <c r="B74">
        <v>-1</v>
      </c>
      <c r="C74">
        <v>46.344000000000001</v>
      </c>
      <c r="D74">
        <v>5.0000000000000001E-3</v>
      </c>
      <c r="E74" t="s">
        <v>5</v>
      </c>
      <c r="F74">
        <v>2</v>
      </c>
      <c r="G74">
        <f>COUNTIF(E:E,E74)</f>
        <v>110</v>
      </c>
      <c r="H74">
        <f>COUNTIFS(E:E,E74,A:A,A74,D:D,D74)</f>
        <v>1</v>
      </c>
      <c r="I74" t="e">
        <f>SUMIF([1]Mapeamento!$J:$J,A74,[1]Mapeamento!$L:$L)</f>
        <v>#VALUE!</v>
      </c>
      <c r="J74" s="1" t="e">
        <f>SUMIF('[1]Map_Meso-Ox'!$C:$C,A74,'[1]Map_Meso-Ox'!$D:$D)</f>
        <v>#VALUE!</v>
      </c>
      <c r="K74" s="2" t="e">
        <f t="shared" si="2"/>
        <v>#VALUE!</v>
      </c>
      <c r="L74" s="1" t="e">
        <f>SUMIF('[1]Map_Meso-Ox'!$C:$C,A74,'[1]Map_Meso-Ox'!$E:$E)</f>
        <v>#VALUE!</v>
      </c>
      <c r="M74" s="2" t="e">
        <f t="shared" si="3"/>
        <v>#VALUE!</v>
      </c>
    </row>
    <row r="75" spans="1:13" x14ac:dyDescent="0.25">
      <c r="A75">
        <v>74</v>
      </c>
      <c r="B75">
        <v>-1</v>
      </c>
      <c r="C75">
        <v>26.16</v>
      </c>
      <c r="D75">
        <v>0.36680000000000001</v>
      </c>
      <c r="E75" t="s">
        <v>5</v>
      </c>
      <c r="F75">
        <v>0</v>
      </c>
      <c r="G75">
        <f>COUNTIF(E:E,E75)</f>
        <v>110</v>
      </c>
      <c r="H75">
        <f>COUNTIFS(E:E,E75,A:A,A75,D:D,D75)</f>
        <v>1</v>
      </c>
      <c r="I75" t="e">
        <f>SUMIF([1]Mapeamento!$J:$J,A75,[1]Mapeamento!$L:$L)</f>
        <v>#VALUE!</v>
      </c>
      <c r="J75" s="1" t="e">
        <f>SUMIF('[1]Map_Meso-Ox'!$C:$C,A75,'[1]Map_Meso-Ox'!$D:$D)</f>
        <v>#VALUE!</v>
      </c>
      <c r="K75" s="2" t="e">
        <f t="shared" si="2"/>
        <v>#VALUE!</v>
      </c>
      <c r="L75" s="1" t="e">
        <f>SUMIF('[1]Map_Meso-Ox'!$C:$C,A75,'[1]Map_Meso-Ox'!$E:$E)</f>
        <v>#VALUE!</v>
      </c>
      <c r="M75" s="2" t="e">
        <f t="shared" si="3"/>
        <v>#VALUE!</v>
      </c>
    </row>
    <row r="76" spans="1:13" x14ac:dyDescent="0.25">
      <c r="A76">
        <v>75</v>
      </c>
      <c r="B76">
        <v>-1</v>
      </c>
      <c r="C76">
        <v>58.628</v>
      </c>
      <c r="D76">
        <v>5.0000000000000001E-3</v>
      </c>
      <c r="E76" t="s">
        <v>5</v>
      </c>
      <c r="F76">
        <v>1</v>
      </c>
      <c r="G76">
        <f>COUNTIF(E:E,E76)</f>
        <v>110</v>
      </c>
      <c r="H76">
        <f>COUNTIFS(E:E,E76,A:A,A76,D:D,D76)</f>
        <v>1</v>
      </c>
      <c r="I76" t="e">
        <f>SUMIF([1]Mapeamento!$J:$J,A76,[1]Mapeamento!$L:$L)</f>
        <v>#VALUE!</v>
      </c>
      <c r="J76" s="1" t="e">
        <f>SUMIF('[1]Map_Meso-Ox'!$C:$C,A76,'[1]Map_Meso-Ox'!$D:$D)</f>
        <v>#VALUE!</v>
      </c>
      <c r="K76" s="2" t="e">
        <f t="shared" si="2"/>
        <v>#VALUE!</v>
      </c>
      <c r="L76" s="1" t="e">
        <f>SUMIF('[1]Map_Meso-Ox'!$C:$C,A76,'[1]Map_Meso-Ox'!$E:$E)</f>
        <v>#VALUE!</v>
      </c>
      <c r="M76" s="2" t="e">
        <f t="shared" si="3"/>
        <v>#VALUE!</v>
      </c>
    </row>
    <row r="77" spans="1:13" x14ac:dyDescent="0.25">
      <c r="A77">
        <v>76</v>
      </c>
      <c r="B77">
        <v>-1</v>
      </c>
      <c r="C77">
        <v>38.692999999999998</v>
      </c>
      <c r="D77">
        <v>1.01E-2</v>
      </c>
      <c r="E77" t="s">
        <v>5</v>
      </c>
      <c r="F77">
        <v>1</v>
      </c>
      <c r="G77">
        <f>COUNTIF(E:E,E77)</f>
        <v>110</v>
      </c>
      <c r="H77">
        <f>COUNTIFS(E:E,E77,A:A,A77,D:D,D77)</f>
        <v>1</v>
      </c>
      <c r="I77" t="e">
        <f>SUMIF([1]Mapeamento!$J:$J,A77,[1]Mapeamento!$L:$L)</f>
        <v>#VALUE!</v>
      </c>
      <c r="J77" s="1" t="e">
        <f>SUMIF('[1]Map_Meso-Ox'!$C:$C,A77,'[1]Map_Meso-Ox'!$D:$D)</f>
        <v>#VALUE!</v>
      </c>
      <c r="K77" s="2" t="e">
        <f t="shared" si="2"/>
        <v>#VALUE!</v>
      </c>
      <c r="L77" s="1" t="e">
        <f>SUMIF('[1]Map_Meso-Ox'!$C:$C,A77,'[1]Map_Meso-Ox'!$E:$E)</f>
        <v>#VALUE!</v>
      </c>
      <c r="M77" s="2" t="e">
        <f t="shared" si="3"/>
        <v>#VALUE!</v>
      </c>
    </row>
    <row r="78" spans="1:13" x14ac:dyDescent="0.25">
      <c r="A78">
        <v>77</v>
      </c>
      <c r="B78">
        <v>-1</v>
      </c>
      <c r="C78">
        <v>52.744999999999997</v>
      </c>
      <c r="D78">
        <v>0</v>
      </c>
      <c r="E78" t="s">
        <v>5</v>
      </c>
      <c r="F78">
        <v>1</v>
      </c>
      <c r="G78">
        <f>COUNTIF(E:E,E78)</f>
        <v>110</v>
      </c>
      <c r="H78">
        <f>COUNTIFS(E:E,E78,A:A,A78,D:D,D78)</f>
        <v>1</v>
      </c>
      <c r="I78" t="e">
        <f>SUMIF([1]Mapeamento!$J:$J,A78,[1]Mapeamento!$L:$L)</f>
        <v>#VALUE!</v>
      </c>
      <c r="J78" s="1" t="e">
        <f>SUMIF('[1]Map_Meso-Ox'!$C:$C,A78,'[1]Map_Meso-Ox'!$D:$D)</f>
        <v>#VALUE!</v>
      </c>
      <c r="K78" s="2" t="e">
        <f t="shared" si="2"/>
        <v>#VALUE!</v>
      </c>
      <c r="L78" s="1" t="e">
        <f>SUMIF('[1]Map_Meso-Ox'!$C:$C,A78,'[1]Map_Meso-Ox'!$E:$E)</f>
        <v>#VALUE!</v>
      </c>
      <c r="M78" s="2" t="e">
        <f t="shared" si="3"/>
        <v>#VALUE!</v>
      </c>
    </row>
    <row r="79" spans="1:13" x14ac:dyDescent="0.25">
      <c r="A79">
        <v>78</v>
      </c>
      <c r="B79">
        <v>-1</v>
      </c>
      <c r="C79">
        <v>35.963999999999999</v>
      </c>
      <c r="D79">
        <v>2.01E-2</v>
      </c>
      <c r="E79" t="s">
        <v>5</v>
      </c>
      <c r="F79">
        <v>2</v>
      </c>
      <c r="G79">
        <f>COUNTIF(E:E,E79)</f>
        <v>110</v>
      </c>
      <c r="H79">
        <f>COUNTIFS(E:E,E79,A:A,A79,D:D,D79)</f>
        <v>1</v>
      </c>
      <c r="I79" t="e">
        <f>SUMIF([1]Mapeamento!$J:$J,A79,[1]Mapeamento!$L:$L)</f>
        <v>#VALUE!</v>
      </c>
      <c r="J79" s="1" t="e">
        <f>SUMIF('[1]Map_Meso-Ox'!$C:$C,A79,'[1]Map_Meso-Ox'!$D:$D)</f>
        <v>#VALUE!</v>
      </c>
      <c r="K79" s="2" t="e">
        <f t="shared" si="2"/>
        <v>#VALUE!</v>
      </c>
      <c r="L79" s="1" t="e">
        <f>SUMIF('[1]Map_Meso-Ox'!$C:$C,A79,'[1]Map_Meso-Ox'!$E:$E)</f>
        <v>#VALUE!</v>
      </c>
      <c r="M79" s="2" t="e">
        <f t="shared" si="3"/>
        <v>#VALUE!</v>
      </c>
    </row>
    <row r="80" spans="1:13" x14ac:dyDescent="0.25">
      <c r="A80">
        <v>79</v>
      </c>
      <c r="B80">
        <v>-1</v>
      </c>
      <c r="C80">
        <v>25.763000000000002</v>
      </c>
      <c r="D80">
        <v>0.1106</v>
      </c>
      <c r="E80" t="s">
        <v>5</v>
      </c>
      <c r="F80">
        <v>1</v>
      </c>
      <c r="G80">
        <f>COUNTIF(E:E,E80)</f>
        <v>110</v>
      </c>
      <c r="H80">
        <f>COUNTIFS(E:E,E80,A:A,A80,D:D,D80)</f>
        <v>1</v>
      </c>
      <c r="I80" t="e">
        <f>SUMIF([1]Mapeamento!$J:$J,A80,[1]Mapeamento!$L:$L)</f>
        <v>#VALUE!</v>
      </c>
      <c r="J80" s="1" t="e">
        <f>SUMIF('[1]Map_Meso-Ox'!$C:$C,A80,'[1]Map_Meso-Ox'!$D:$D)</f>
        <v>#VALUE!</v>
      </c>
      <c r="K80" s="2" t="e">
        <f t="shared" si="2"/>
        <v>#VALUE!</v>
      </c>
      <c r="L80" s="1" t="e">
        <f>SUMIF('[1]Map_Meso-Ox'!$C:$C,A80,'[1]Map_Meso-Ox'!$E:$E)</f>
        <v>#VALUE!</v>
      </c>
      <c r="M80" s="2" t="e">
        <f t="shared" si="3"/>
        <v>#VALUE!</v>
      </c>
    </row>
    <row r="81" spans="1:13" x14ac:dyDescent="0.25">
      <c r="A81">
        <v>80</v>
      </c>
      <c r="B81">
        <v>-1</v>
      </c>
      <c r="C81">
        <v>20.780999999999999</v>
      </c>
      <c r="D81">
        <v>0.36180000000000001</v>
      </c>
      <c r="E81" t="s">
        <v>5</v>
      </c>
      <c r="F81">
        <v>1</v>
      </c>
      <c r="G81">
        <f>COUNTIF(E:E,E81)</f>
        <v>110</v>
      </c>
      <c r="H81">
        <f>COUNTIFS(E:E,E81,A:A,A81,D:D,D81)</f>
        <v>1</v>
      </c>
      <c r="I81" t="e">
        <f>SUMIF([1]Mapeamento!$J:$J,A81,[1]Mapeamento!$L:$L)</f>
        <v>#VALUE!</v>
      </c>
      <c r="J81" s="1" t="e">
        <f>SUMIF('[1]Map_Meso-Ox'!$C:$C,A81,'[1]Map_Meso-Ox'!$D:$D)</f>
        <v>#VALUE!</v>
      </c>
      <c r="K81" s="2" t="e">
        <f t="shared" si="2"/>
        <v>#VALUE!</v>
      </c>
      <c r="L81" s="1" t="e">
        <f>SUMIF('[1]Map_Meso-Ox'!$C:$C,A81,'[1]Map_Meso-Ox'!$E:$E)</f>
        <v>#VALUE!</v>
      </c>
      <c r="M81" s="2" t="e">
        <f t="shared" si="3"/>
        <v>#VALUE!</v>
      </c>
    </row>
    <row r="82" spans="1:13" x14ac:dyDescent="0.25">
      <c r="A82">
        <v>81</v>
      </c>
      <c r="B82">
        <v>-1</v>
      </c>
      <c r="C82">
        <v>53.978999999999999</v>
      </c>
      <c r="D82">
        <v>0</v>
      </c>
      <c r="E82" t="s">
        <v>5</v>
      </c>
      <c r="F82">
        <v>1</v>
      </c>
      <c r="G82">
        <f>COUNTIF(E:E,E82)</f>
        <v>110</v>
      </c>
      <c r="H82">
        <f>COUNTIFS(E:E,E82,A:A,A82,D:D,D82)</f>
        <v>1</v>
      </c>
      <c r="I82" t="e">
        <f>SUMIF([1]Mapeamento!$J:$J,A82,[1]Mapeamento!$L:$L)</f>
        <v>#VALUE!</v>
      </c>
      <c r="J82" s="1" t="e">
        <f>SUMIF('[1]Map_Meso-Ox'!$C:$C,A82,'[1]Map_Meso-Ox'!$D:$D)</f>
        <v>#VALUE!</v>
      </c>
      <c r="K82" s="2" t="e">
        <f t="shared" si="2"/>
        <v>#VALUE!</v>
      </c>
      <c r="L82" s="1" t="e">
        <f>SUMIF('[1]Map_Meso-Ox'!$C:$C,A82,'[1]Map_Meso-Ox'!$E:$E)</f>
        <v>#VALUE!</v>
      </c>
      <c r="M82" s="2" t="e">
        <f t="shared" si="3"/>
        <v>#VALUE!</v>
      </c>
    </row>
    <row r="83" spans="1:13" x14ac:dyDescent="0.25">
      <c r="A83">
        <v>82</v>
      </c>
      <c r="B83">
        <v>-1</v>
      </c>
      <c r="C83">
        <v>33.112000000000002</v>
      </c>
      <c r="D83">
        <v>9.0499999999999997E-2</v>
      </c>
      <c r="E83" t="s">
        <v>5</v>
      </c>
      <c r="F83">
        <v>1</v>
      </c>
      <c r="G83">
        <f>COUNTIF(E:E,E83)</f>
        <v>110</v>
      </c>
      <c r="H83">
        <f>COUNTIFS(E:E,E83,A:A,A83,D:D,D83)</f>
        <v>1</v>
      </c>
      <c r="I83" t="e">
        <f>SUMIF([1]Mapeamento!$J:$J,A83,[1]Mapeamento!$L:$L)</f>
        <v>#VALUE!</v>
      </c>
      <c r="J83" s="1" t="e">
        <f>SUMIF('[1]Map_Meso-Ox'!$C:$C,A83,'[1]Map_Meso-Ox'!$D:$D)</f>
        <v>#VALUE!</v>
      </c>
      <c r="K83" s="2" t="e">
        <f t="shared" si="2"/>
        <v>#VALUE!</v>
      </c>
      <c r="L83" s="1" t="e">
        <f>SUMIF('[1]Map_Meso-Ox'!$C:$C,A83,'[1]Map_Meso-Ox'!$E:$E)</f>
        <v>#VALUE!</v>
      </c>
      <c r="M83" s="2" t="e">
        <f t="shared" si="3"/>
        <v>#VALUE!</v>
      </c>
    </row>
    <row r="84" spans="1:13" x14ac:dyDescent="0.25">
      <c r="A84">
        <v>83</v>
      </c>
      <c r="B84">
        <v>-1</v>
      </c>
      <c r="C84">
        <v>17.690000000000001</v>
      </c>
      <c r="D84">
        <v>0.28139999999999998</v>
      </c>
      <c r="E84" t="s">
        <v>5</v>
      </c>
      <c r="F84">
        <v>1</v>
      </c>
      <c r="G84">
        <f>COUNTIF(E:E,E84)</f>
        <v>110</v>
      </c>
      <c r="H84">
        <f>COUNTIFS(E:E,E84,A:A,A84,D:D,D84)</f>
        <v>1</v>
      </c>
      <c r="I84" t="e">
        <f>SUMIF([1]Mapeamento!$J:$J,A84,[1]Mapeamento!$L:$L)</f>
        <v>#VALUE!</v>
      </c>
      <c r="J84" s="1" t="e">
        <f>SUMIF('[1]Map_Meso-Ox'!$C:$C,A84,'[1]Map_Meso-Ox'!$D:$D)</f>
        <v>#VALUE!</v>
      </c>
      <c r="K84" s="2" t="e">
        <f t="shared" si="2"/>
        <v>#VALUE!</v>
      </c>
      <c r="L84" s="1" t="e">
        <f>SUMIF('[1]Map_Meso-Ox'!$C:$C,A84,'[1]Map_Meso-Ox'!$E:$E)</f>
        <v>#VALUE!</v>
      </c>
      <c r="M84" s="2" t="e">
        <f t="shared" si="3"/>
        <v>#VALUE!</v>
      </c>
    </row>
    <row r="85" spans="1:13" x14ac:dyDescent="0.25">
      <c r="A85">
        <v>84</v>
      </c>
      <c r="B85">
        <v>-1</v>
      </c>
      <c r="C85">
        <v>32.113</v>
      </c>
      <c r="D85">
        <v>4.5199999999999997E-2</v>
      </c>
      <c r="E85" t="s">
        <v>5</v>
      </c>
      <c r="F85">
        <v>2</v>
      </c>
      <c r="G85">
        <f>COUNTIF(E:E,E85)</f>
        <v>110</v>
      </c>
      <c r="H85">
        <f>COUNTIFS(E:E,E85,A:A,A85,D:D,D85)</f>
        <v>1</v>
      </c>
      <c r="I85" t="e">
        <f>SUMIF([1]Mapeamento!$J:$J,A85,[1]Mapeamento!$L:$L)</f>
        <v>#VALUE!</v>
      </c>
      <c r="J85" s="1" t="e">
        <f>SUMIF('[1]Map_Meso-Ox'!$C:$C,A85,'[1]Map_Meso-Ox'!$D:$D)</f>
        <v>#VALUE!</v>
      </c>
      <c r="K85" s="2" t="e">
        <f t="shared" si="2"/>
        <v>#VALUE!</v>
      </c>
      <c r="L85" s="1" t="e">
        <f>SUMIF('[1]Map_Meso-Ox'!$C:$C,A85,'[1]Map_Meso-Ox'!$E:$E)</f>
        <v>#VALUE!</v>
      </c>
      <c r="M85" s="2" t="e">
        <f t="shared" si="3"/>
        <v>#VALUE!</v>
      </c>
    </row>
    <row r="86" spans="1:13" x14ac:dyDescent="0.25">
      <c r="A86">
        <v>85</v>
      </c>
      <c r="B86">
        <v>-1</v>
      </c>
      <c r="C86">
        <v>37.587000000000003</v>
      </c>
      <c r="D86">
        <v>3.5200000000000002E-2</v>
      </c>
      <c r="E86" t="s">
        <v>5</v>
      </c>
      <c r="F86">
        <v>1</v>
      </c>
      <c r="G86">
        <f>COUNTIF(E:E,E86)</f>
        <v>110</v>
      </c>
      <c r="H86">
        <f>COUNTIFS(E:E,E86,A:A,A86,D:D,D86)</f>
        <v>1</v>
      </c>
      <c r="I86" t="e">
        <f>SUMIF([1]Mapeamento!$J:$J,A86,[1]Mapeamento!$L:$L)</f>
        <v>#VALUE!</v>
      </c>
      <c r="J86" s="1" t="e">
        <f>SUMIF('[1]Map_Meso-Ox'!$C:$C,A86,'[1]Map_Meso-Ox'!$D:$D)</f>
        <v>#VALUE!</v>
      </c>
      <c r="K86" s="2" t="e">
        <f t="shared" si="2"/>
        <v>#VALUE!</v>
      </c>
      <c r="L86" s="1" t="e">
        <f>SUMIF('[1]Map_Meso-Ox'!$C:$C,A86,'[1]Map_Meso-Ox'!$E:$E)</f>
        <v>#VALUE!</v>
      </c>
      <c r="M86" s="2" t="e">
        <f t="shared" si="3"/>
        <v>#VALUE!</v>
      </c>
    </row>
    <row r="87" spans="1:13" x14ac:dyDescent="0.25">
      <c r="A87">
        <v>86</v>
      </c>
      <c r="B87">
        <v>-1</v>
      </c>
      <c r="C87">
        <v>18.559999999999999</v>
      </c>
      <c r="D87">
        <v>0.43219999999999997</v>
      </c>
      <c r="E87" t="s">
        <v>5</v>
      </c>
      <c r="F87">
        <v>1</v>
      </c>
      <c r="G87">
        <f>COUNTIF(E:E,E87)</f>
        <v>110</v>
      </c>
      <c r="H87">
        <f>COUNTIFS(E:E,E87,A:A,A87,D:D,D87)</f>
        <v>1</v>
      </c>
      <c r="I87" t="e">
        <f>SUMIF([1]Mapeamento!$J:$J,A87,[1]Mapeamento!$L:$L)</f>
        <v>#VALUE!</v>
      </c>
      <c r="J87" s="1" t="e">
        <f>SUMIF('[1]Map_Meso-Ox'!$C:$C,A87,'[1]Map_Meso-Ox'!$D:$D)</f>
        <v>#VALUE!</v>
      </c>
      <c r="K87" s="2" t="e">
        <f t="shared" si="2"/>
        <v>#VALUE!</v>
      </c>
      <c r="L87" s="1" t="e">
        <f>SUMIF('[1]Map_Meso-Ox'!$C:$C,A87,'[1]Map_Meso-Ox'!$E:$E)</f>
        <v>#VALUE!</v>
      </c>
      <c r="M87" s="2" t="e">
        <f t="shared" si="3"/>
        <v>#VALUE!</v>
      </c>
    </row>
    <row r="88" spans="1:13" x14ac:dyDescent="0.25">
      <c r="A88">
        <v>87</v>
      </c>
      <c r="B88">
        <v>-1</v>
      </c>
      <c r="C88">
        <v>21.925999999999998</v>
      </c>
      <c r="D88">
        <v>0.33169999999999999</v>
      </c>
      <c r="E88" t="s">
        <v>5</v>
      </c>
      <c r="F88">
        <v>0</v>
      </c>
      <c r="G88">
        <f>COUNTIF(E:E,E88)</f>
        <v>110</v>
      </c>
      <c r="H88">
        <f>COUNTIFS(E:E,E88,A:A,A88,D:D,D88)</f>
        <v>1</v>
      </c>
      <c r="I88" t="e">
        <f>SUMIF([1]Mapeamento!$J:$J,A88,[1]Mapeamento!$L:$L)</f>
        <v>#VALUE!</v>
      </c>
      <c r="J88" s="1" t="e">
        <f>SUMIF('[1]Map_Meso-Ox'!$C:$C,A88,'[1]Map_Meso-Ox'!$D:$D)</f>
        <v>#VALUE!</v>
      </c>
      <c r="K88" s="2" t="e">
        <f t="shared" si="2"/>
        <v>#VALUE!</v>
      </c>
      <c r="L88" s="1" t="e">
        <f>SUMIF('[1]Map_Meso-Ox'!$C:$C,A88,'[1]Map_Meso-Ox'!$E:$E)</f>
        <v>#VALUE!</v>
      </c>
      <c r="M88" s="2" t="e">
        <f t="shared" si="3"/>
        <v>#VALUE!</v>
      </c>
    </row>
    <row r="89" spans="1:13" x14ac:dyDescent="0.25">
      <c r="A89">
        <v>88</v>
      </c>
      <c r="B89">
        <v>-1</v>
      </c>
      <c r="C89">
        <v>26.51</v>
      </c>
      <c r="D89">
        <v>0.15579999999999999</v>
      </c>
      <c r="E89" t="s">
        <v>5</v>
      </c>
      <c r="F89">
        <v>0</v>
      </c>
      <c r="G89">
        <f>COUNTIF(E:E,E89)</f>
        <v>110</v>
      </c>
      <c r="H89">
        <f>COUNTIFS(E:E,E89,A:A,A89,D:D,D89)</f>
        <v>1</v>
      </c>
      <c r="I89" t="e">
        <f>SUMIF([1]Mapeamento!$J:$J,A89,[1]Mapeamento!$L:$L)</f>
        <v>#VALUE!</v>
      </c>
      <c r="J89" s="1" t="e">
        <f>SUMIF('[1]Map_Meso-Ox'!$C:$C,A89,'[1]Map_Meso-Ox'!$D:$D)</f>
        <v>#VALUE!</v>
      </c>
      <c r="K89" s="2" t="e">
        <f t="shared" si="2"/>
        <v>#VALUE!</v>
      </c>
      <c r="L89" s="1" t="e">
        <f>SUMIF('[1]Map_Meso-Ox'!$C:$C,A89,'[1]Map_Meso-Ox'!$E:$E)</f>
        <v>#VALUE!</v>
      </c>
      <c r="M89" s="2" t="e">
        <f t="shared" si="3"/>
        <v>#VALUE!</v>
      </c>
    </row>
    <row r="90" spans="1:13" x14ac:dyDescent="0.25">
      <c r="A90">
        <v>89</v>
      </c>
      <c r="B90">
        <v>-1</v>
      </c>
      <c r="C90">
        <v>27.207999999999998</v>
      </c>
      <c r="D90">
        <v>0.13569999999999999</v>
      </c>
      <c r="E90" t="s">
        <v>5</v>
      </c>
      <c r="F90">
        <v>0</v>
      </c>
      <c r="G90">
        <f>COUNTIF(E:E,E90)</f>
        <v>110</v>
      </c>
      <c r="H90">
        <f>COUNTIFS(E:E,E90,A:A,A90,D:D,D90)</f>
        <v>1</v>
      </c>
      <c r="I90" t="e">
        <f>SUMIF([1]Mapeamento!$J:$J,A90,[1]Mapeamento!$L:$L)</f>
        <v>#VALUE!</v>
      </c>
      <c r="J90" s="1" t="e">
        <f>SUMIF('[1]Map_Meso-Ox'!$C:$C,A90,'[1]Map_Meso-Ox'!$D:$D)</f>
        <v>#VALUE!</v>
      </c>
      <c r="K90" s="2" t="e">
        <f t="shared" si="2"/>
        <v>#VALUE!</v>
      </c>
      <c r="L90" s="1" t="e">
        <f>SUMIF('[1]Map_Meso-Ox'!$C:$C,A90,'[1]Map_Meso-Ox'!$E:$E)</f>
        <v>#VALUE!</v>
      </c>
      <c r="M90" s="2" t="e">
        <f t="shared" si="3"/>
        <v>#VALUE!</v>
      </c>
    </row>
    <row r="91" spans="1:13" x14ac:dyDescent="0.25">
      <c r="A91">
        <v>90</v>
      </c>
      <c r="B91">
        <v>-1</v>
      </c>
      <c r="C91">
        <v>56.594000000000001</v>
      </c>
      <c r="D91">
        <v>5.0000000000000001E-3</v>
      </c>
      <c r="E91" t="s">
        <v>5</v>
      </c>
      <c r="F91">
        <v>1</v>
      </c>
      <c r="G91">
        <f>COUNTIF(E:E,E91)</f>
        <v>110</v>
      </c>
      <c r="H91">
        <f>COUNTIFS(E:E,E91,A:A,A91,D:D,D91)</f>
        <v>1</v>
      </c>
      <c r="I91" t="e">
        <f>SUMIF([1]Mapeamento!$J:$J,A91,[1]Mapeamento!$L:$L)</f>
        <v>#VALUE!</v>
      </c>
      <c r="J91" s="1" t="e">
        <f>SUMIF('[1]Map_Meso-Ox'!$C:$C,A91,'[1]Map_Meso-Ox'!$D:$D)</f>
        <v>#VALUE!</v>
      </c>
      <c r="K91" s="2" t="e">
        <f t="shared" si="2"/>
        <v>#VALUE!</v>
      </c>
      <c r="L91" s="1" t="e">
        <f>SUMIF('[1]Map_Meso-Ox'!$C:$C,A91,'[1]Map_Meso-Ox'!$E:$E)</f>
        <v>#VALUE!</v>
      </c>
      <c r="M91" s="2" t="e">
        <f t="shared" si="3"/>
        <v>#VALUE!</v>
      </c>
    </row>
    <row r="92" spans="1:13" x14ac:dyDescent="0.25">
      <c r="A92">
        <v>91</v>
      </c>
      <c r="B92">
        <v>-1</v>
      </c>
      <c r="C92">
        <v>43.143000000000001</v>
      </c>
      <c r="D92">
        <v>5.0000000000000001E-3</v>
      </c>
      <c r="E92" t="s">
        <v>5</v>
      </c>
      <c r="F92">
        <v>2</v>
      </c>
      <c r="G92">
        <f>COUNTIF(E:E,E92)</f>
        <v>110</v>
      </c>
      <c r="H92">
        <f>COUNTIFS(E:E,E92,A:A,A92,D:D,D92)</f>
        <v>1</v>
      </c>
      <c r="I92" t="e">
        <f>SUMIF([1]Mapeamento!$J:$J,A92,[1]Mapeamento!$L:$L)</f>
        <v>#VALUE!</v>
      </c>
      <c r="J92" s="1" t="e">
        <f>SUMIF('[1]Map_Meso-Ox'!$C:$C,A92,'[1]Map_Meso-Ox'!$D:$D)</f>
        <v>#VALUE!</v>
      </c>
      <c r="K92" s="2" t="e">
        <f t="shared" si="2"/>
        <v>#VALUE!</v>
      </c>
      <c r="L92" s="1" t="e">
        <f>SUMIF('[1]Map_Meso-Ox'!$C:$C,A92,'[1]Map_Meso-Ox'!$E:$E)</f>
        <v>#VALUE!</v>
      </c>
      <c r="M92" s="2" t="e">
        <f t="shared" si="3"/>
        <v>#VALUE!</v>
      </c>
    </row>
    <row r="93" spans="1:13" x14ac:dyDescent="0.25">
      <c r="A93">
        <v>92</v>
      </c>
      <c r="B93">
        <v>-1</v>
      </c>
      <c r="C93">
        <v>48.65</v>
      </c>
      <c r="D93">
        <v>1.01E-2</v>
      </c>
      <c r="E93" t="s">
        <v>5</v>
      </c>
      <c r="F93">
        <v>0</v>
      </c>
      <c r="G93">
        <f>COUNTIF(E:E,E93)</f>
        <v>110</v>
      </c>
      <c r="H93">
        <f>COUNTIFS(E:E,E93,A:A,A93,D:D,D93)</f>
        <v>1</v>
      </c>
      <c r="I93" t="e">
        <f>SUMIF([1]Mapeamento!$J:$J,A93,[1]Mapeamento!$L:$L)</f>
        <v>#VALUE!</v>
      </c>
      <c r="J93" s="1" t="e">
        <f>SUMIF('[1]Map_Meso-Ox'!$C:$C,A93,'[1]Map_Meso-Ox'!$D:$D)</f>
        <v>#VALUE!</v>
      </c>
      <c r="K93" s="2" t="e">
        <f t="shared" si="2"/>
        <v>#VALUE!</v>
      </c>
      <c r="L93" s="1" t="e">
        <f>SUMIF('[1]Map_Meso-Ox'!$C:$C,A93,'[1]Map_Meso-Ox'!$E:$E)</f>
        <v>#VALUE!</v>
      </c>
      <c r="M93" s="2" t="e">
        <f t="shared" si="3"/>
        <v>#VALUE!</v>
      </c>
    </row>
    <row r="94" spans="1:13" x14ac:dyDescent="0.25">
      <c r="A94">
        <v>93</v>
      </c>
      <c r="B94">
        <v>-1</v>
      </c>
      <c r="C94">
        <v>46.04</v>
      </c>
      <c r="D94">
        <v>2.5100000000000001E-2</v>
      </c>
      <c r="E94" t="s">
        <v>5</v>
      </c>
      <c r="F94">
        <v>0</v>
      </c>
      <c r="G94">
        <f>COUNTIF(E:E,E94)</f>
        <v>110</v>
      </c>
      <c r="H94">
        <f>COUNTIFS(E:E,E94,A:A,A94,D:D,D94)</f>
        <v>1</v>
      </c>
      <c r="I94" t="e">
        <f>SUMIF([1]Mapeamento!$J:$J,A94,[1]Mapeamento!$L:$L)</f>
        <v>#VALUE!</v>
      </c>
      <c r="J94" s="1" t="e">
        <f>SUMIF('[1]Map_Meso-Ox'!$C:$C,A94,'[1]Map_Meso-Ox'!$D:$D)</f>
        <v>#VALUE!</v>
      </c>
      <c r="K94" s="2" t="e">
        <f t="shared" si="2"/>
        <v>#VALUE!</v>
      </c>
      <c r="L94" s="1" t="e">
        <f>SUMIF('[1]Map_Meso-Ox'!$C:$C,A94,'[1]Map_Meso-Ox'!$E:$E)</f>
        <v>#VALUE!</v>
      </c>
      <c r="M94" s="2" t="e">
        <f t="shared" si="3"/>
        <v>#VALUE!</v>
      </c>
    </row>
    <row r="95" spans="1:13" x14ac:dyDescent="0.25">
      <c r="A95">
        <v>94</v>
      </c>
      <c r="B95">
        <v>-1</v>
      </c>
      <c r="C95">
        <v>18.802</v>
      </c>
      <c r="D95">
        <v>0.40200000000000002</v>
      </c>
      <c r="E95" t="s">
        <v>5</v>
      </c>
      <c r="F95">
        <v>2</v>
      </c>
      <c r="G95">
        <f>COUNTIF(E:E,E95)</f>
        <v>110</v>
      </c>
      <c r="H95">
        <f>COUNTIFS(E:E,E95,A:A,A95,D:D,D95)</f>
        <v>1</v>
      </c>
      <c r="I95" t="e">
        <f>SUMIF([1]Mapeamento!$J:$J,A95,[1]Mapeamento!$L:$L)</f>
        <v>#VALUE!</v>
      </c>
      <c r="J95" s="1" t="e">
        <f>SUMIF('[1]Map_Meso-Ox'!$C:$C,A95,'[1]Map_Meso-Ox'!$D:$D)</f>
        <v>#VALUE!</v>
      </c>
      <c r="K95" s="2" t="e">
        <f t="shared" si="2"/>
        <v>#VALUE!</v>
      </c>
      <c r="L95" s="1" t="e">
        <f>SUMIF('[1]Map_Meso-Ox'!$C:$C,A95,'[1]Map_Meso-Ox'!$E:$E)</f>
        <v>#VALUE!</v>
      </c>
      <c r="M95" s="2" t="e">
        <f t="shared" si="3"/>
        <v>#VALUE!</v>
      </c>
    </row>
    <row r="96" spans="1:13" x14ac:dyDescent="0.25">
      <c r="A96">
        <v>95</v>
      </c>
      <c r="B96">
        <v>-1</v>
      </c>
      <c r="C96">
        <v>25.26</v>
      </c>
      <c r="D96">
        <v>0.25130000000000002</v>
      </c>
      <c r="E96" t="s">
        <v>5</v>
      </c>
      <c r="F96">
        <v>0</v>
      </c>
      <c r="G96">
        <f>COUNTIF(E:E,E96)</f>
        <v>110</v>
      </c>
      <c r="H96">
        <f>COUNTIFS(E:E,E96,A:A,A96,D:D,D96)</f>
        <v>1</v>
      </c>
      <c r="I96" t="e">
        <f>SUMIF([1]Mapeamento!$J:$J,A96,[1]Mapeamento!$L:$L)</f>
        <v>#VALUE!</v>
      </c>
      <c r="J96" s="1" t="e">
        <f>SUMIF('[1]Map_Meso-Ox'!$C:$C,A96,'[1]Map_Meso-Ox'!$D:$D)</f>
        <v>#VALUE!</v>
      </c>
      <c r="K96" s="2" t="e">
        <f t="shared" si="2"/>
        <v>#VALUE!</v>
      </c>
      <c r="L96" s="1" t="e">
        <f>SUMIF('[1]Map_Meso-Ox'!$C:$C,A96,'[1]Map_Meso-Ox'!$E:$E)</f>
        <v>#VALUE!</v>
      </c>
      <c r="M96" s="2" t="e">
        <f t="shared" si="3"/>
        <v>#VALUE!</v>
      </c>
    </row>
    <row r="97" spans="1:13" x14ac:dyDescent="0.25">
      <c r="A97">
        <v>96</v>
      </c>
      <c r="B97">
        <v>-1</v>
      </c>
      <c r="C97">
        <v>44.789000000000001</v>
      </c>
      <c r="D97">
        <v>2.5100000000000001E-2</v>
      </c>
      <c r="E97" t="s">
        <v>5</v>
      </c>
      <c r="F97">
        <v>0</v>
      </c>
      <c r="G97">
        <f>COUNTIF(E:E,E97)</f>
        <v>110</v>
      </c>
      <c r="H97">
        <f>COUNTIFS(E:E,E97,A:A,A97,D:D,D97)</f>
        <v>1</v>
      </c>
      <c r="I97" t="e">
        <f>SUMIF([1]Mapeamento!$J:$J,A97,[1]Mapeamento!$L:$L)</f>
        <v>#VALUE!</v>
      </c>
      <c r="J97" s="1" t="e">
        <f>SUMIF('[1]Map_Meso-Ox'!$C:$C,A97,'[1]Map_Meso-Ox'!$D:$D)</f>
        <v>#VALUE!</v>
      </c>
      <c r="K97" s="2" t="e">
        <f t="shared" si="2"/>
        <v>#VALUE!</v>
      </c>
      <c r="L97" s="1" t="e">
        <f>SUMIF('[1]Map_Meso-Ox'!$C:$C,A97,'[1]Map_Meso-Ox'!$E:$E)</f>
        <v>#VALUE!</v>
      </c>
      <c r="M97" s="2" t="e">
        <f t="shared" si="3"/>
        <v>#VALUE!</v>
      </c>
    </row>
    <row r="98" spans="1:13" x14ac:dyDescent="0.25">
      <c r="A98">
        <v>97</v>
      </c>
      <c r="B98">
        <v>-1</v>
      </c>
      <c r="C98">
        <v>31.957999999999998</v>
      </c>
      <c r="D98">
        <v>4.02E-2</v>
      </c>
      <c r="E98" t="s">
        <v>5</v>
      </c>
      <c r="F98">
        <v>1</v>
      </c>
      <c r="G98">
        <f>COUNTIF(E:E,E98)</f>
        <v>110</v>
      </c>
      <c r="H98">
        <f>COUNTIFS(E:E,E98,A:A,A98,D:D,D98)</f>
        <v>1</v>
      </c>
      <c r="I98" t="e">
        <f>SUMIF([1]Mapeamento!$J:$J,A98,[1]Mapeamento!$L:$L)</f>
        <v>#VALUE!</v>
      </c>
      <c r="J98" s="1" t="e">
        <f>SUMIF('[1]Map_Meso-Ox'!$C:$C,A98,'[1]Map_Meso-Ox'!$D:$D)</f>
        <v>#VALUE!</v>
      </c>
      <c r="K98" s="2" t="e">
        <f t="shared" si="2"/>
        <v>#VALUE!</v>
      </c>
      <c r="L98" s="1" t="e">
        <f>SUMIF('[1]Map_Meso-Ox'!$C:$C,A98,'[1]Map_Meso-Ox'!$E:$E)</f>
        <v>#VALUE!</v>
      </c>
      <c r="M98" s="2" t="e">
        <f t="shared" si="3"/>
        <v>#VALUE!</v>
      </c>
    </row>
    <row r="99" spans="1:13" x14ac:dyDescent="0.25">
      <c r="A99">
        <v>98</v>
      </c>
      <c r="B99">
        <v>-1</v>
      </c>
      <c r="C99">
        <v>32.18</v>
      </c>
      <c r="D99">
        <v>0.1658</v>
      </c>
      <c r="E99" t="s">
        <v>5</v>
      </c>
      <c r="F99">
        <v>0</v>
      </c>
      <c r="G99">
        <f>COUNTIF(E:E,E99)</f>
        <v>110</v>
      </c>
      <c r="H99">
        <f>COUNTIFS(E:E,E99,A:A,A99,D:D,D99)</f>
        <v>1</v>
      </c>
      <c r="I99" t="e">
        <f>SUMIF([1]Mapeamento!$J:$J,A99,[1]Mapeamento!$L:$L)</f>
        <v>#VALUE!</v>
      </c>
      <c r="J99" s="1" t="e">
        <f>SUMIF('[1]Map_Meso-Ox'!$C:$C,A99,'[1]Map_Meso-Ox'!$D:$D)</f>
        <v>#VALUE!</v>
      </c>
      <c r="K99" s="2" t="e">
        <f t="shared" si="2"/>
        <v>#VALUE!</v>
      </c>
      <c r="L99" s="1" t="e">
        <f>SUMIF('[1]Map_Meso-Ox'!$C:$C,A99,'[1]Map_Meso-Ox'!$E:$E)</f>
        <v>#VALUE!</v>
      </c>
      <c r="M99" s="2" t="e">
        <f t="shared" si="3"/>
        <v>#VALUE!</v>
      </c>
    </row>
    <row r="100" spans="1:13" x14ac:dyDescent="0.25">
      <c r="A100">
        <v>99</v>
      </c>
      <c r="B100">
        <v>-1</v>
      </c>
      <c r="C100">
        <v>46.997</v>
      </c>
      <c r="D100">
        <v>5.0000000000000001E-3</v>
      </c>
      <c r="E100" t="s">
        <v>5</v>
      </c>
      <c r="F100">
        <v>1</v>
      </c>
      <c r="G100">
        <f>COUNTIF(E:E,E100)</f>
        <v>110</v>
      </c>
      <c r="H100">
        <f>COUNTIFS(E:E,E100,A:A,A100,D:D,D100)</f>
        <v>1</v>
      </c>
      <c r="I100" t="e">
        <f>SUMIF([1]Mapeamento!$J:$J,A100,[1]Mapeamento!$L:$L)</f>
        <v>#VALUE!</v>
      </c>
      <c r="J100" s="1" t="e">
        <f>SUMIF('[1]Map_Meso-Ox'!$C:$C,A100,'[1]Map_Meso-Ox'!$D:$D)</f>
        <v>#VALUE!</v>
      </c>
      <c r="K100" s="2" t="e">
        <f t="shared" si="2"/>
        <v>#VALUE!</v>
      </c>
      <c r="L100" s="1" t="e">
        <f>SUMIF('[1]Map_Meso-Ox'!$C:$C,A100,'[1]Map_Meso-Ox'!$E:$E)</f>
        <v>#VALUE!</v>
      </c>
      <c r="M100" s="2" t="e">
        <f t="shared" si="3"/>
        <v>#VALUE!</v>
      </c>
    </row>
    <row r="101" spans="1:13" x14ac:dyDescent="0.25">
      <c r="A101">
        <v>100</v>
      </c>
      <c r="B101">
        <v>-1</v>
      </c>
      <c r="C101">
        <v>41.790999999999997</v>
      </c>
      <c r="D101">
        <v>2.01E-2</v>
      </c>
      <c r="E101" t="s">
        <v>5</v>
      </c>
      <c r="F101">
        <v>2</v>
      </c>
      <c r="G101">
        <f>COUNTIF(E:E,E101)</f>
        <v>110</v>
      </c>
      <c r="H101">
        <f>COUNTIFS(E:E,E101,A:A,A101,D:D,D101)</f>
        <v>1</v>
      </c>
      <c r="I101" t="e">
        <f>SUMIF([1]Mapeamento!$J:$J,A101,[1]Mapeamento!$L:$L)</f>
        <v>#VALUE!</v>
      </c>
      <c r="J101" s="1" t="e">
        <f>SUMIF('[1]Map_Meso-Ox'!$C:$C,A101,'[1]Map_Meso-Ox'!$D:$D)</f>
        <v>#VALUE!</v>
      </c>
      <c r="K101" s="2" t="e">
        <f t="shared" si="2"/>
        <v>#VALUE!</v>
      </c>
      <c r="L101" s="1" t="e">
        <f>SUMIF('[1]Map_Meso-Ox'!$C:$C,A101,'[1]Map_Meso-Ox'!$E:$E)</f>
        <v>#VALUE!</v>
      </c>
      <c r="M101" s="2" t="e">
        <f t="shared" si="3"/>
        <v>#VALUE!</v>
      </c>
    </row>
    <row r="102" spans="1:13" x14ac:dyDescent="0.25">
      <c r="A102">
        <v>101</v>
      </c>
      <c r="B102">
        <v>-1</v>
      </c>
      <c r="C102">
        <v>64.504000000000005</v>
      </c>
      <c r="D102">
        <v>0</v>
      </c>
      <c r="E102" t="s">
        <v>5</v>
      </c>
      <c r="F102">
        <v>2</v>
      </c>
      <c r="G102">
        <f>COUNTIF(E:E,E102)</f>
        <v>110</v>
      </c>
      <c r="H102">
        <f>COUNTIFS(E:E,E102,A:A,A102,D:D,D102)</f>
        <v>1</v>
      </c>
      <c r="I102" t="e">
        <f>SUMIF([1]Mapeamento!$J:$J,A102,[1]Mapeamento!$L:$L)</f>
        <v>#VALUE!</v>
      </c>
      <c r="J102" s="1" t="e">
        <f>SUMIF('[1]Map_Meso-Ox'!$C:$C,A102,'[1]Map_Meso-Ox'!$D:$D)</f>
        <v>#VALUE!</v>
      </c>
      <c r="K102" s="2" t="e">
        <f t="shared" si="2"/>
        <v>#VALUE!</v>
      </c>
      <c r="L102" s="1" t="e">
        <f>SUMIF('[1]Map_Meso-Ox'!$C:$C,A102,'[1]Map_Meso-Ox'!$E:$E)</f>
        <v>#VALUE!</v>
      </c>
      <c r="M102" s="2" t="e">
        <f t="shared" si="3"/>
        <v>#VALUE!</v>
      </c>
    </row>
    <row r="103" spans="1:13" x14ac:dyDescent="0.25">
      <c r="A103">
        <v>102</v>
      </c>
      <c r="B103">
        <v>-1</v>
      </c>
      <c r="C103">
        <v>37.704000000000001</v>
      </c>
      <c r="D103">
        <v>3.0200000000000001E-2</v>
      </c>
      <c r="E103" t="s">
        <v>5</v>
      </c>
      <c r="F103">
        <v>0</v>
      </c>
      <c r="G103">
        <f>COUNTIF(E:E,E103)</f>
        <v>110</v>
      </c>
      <c r="H103">
        <f>COUNTIFS(E:E,E103,A:A,A103,D:D,D103)</f>
        <v>1</v>
      </c>
      <c r="I103" t="e">
        <f>SUMIF([1]Mapeamento!$J:$J,A103,[1]Mapeamento!$L:$L)</f>
        <v>#VALUE!</v>
      </c>
      <c r="J103" s="1" t="e">
        <f>SUMIF('[1]Map_Meso-Ox'!$C:$C,A103,'[1]Map_Meso-Ox'!$D:$D)</f>
        <v>#VALUE!</v>
      </c>
      <c r="K103" s="2" t="e">
        <f t="shared" si="2"/>
        <v>#VALUE!</v>
      </c>
      <c r="L103" s="1" t="e">
        <f>SUMIF('[1]Map_Meso-Ox'!$C:$C,A103,'[1]Map_Meso-Ox'!$E:$E)</f>
        <v>#VALUE!</v>
      </c>
      <c r="M103" s="2" t="e">
        <f t="shared" si="3"/>
        <v>#VALUE!</v>
      </c>
    </row>
    <row r="104" spans="1:13" x14ac:dyDescent="0.25">
      <c r="A104">
        <v>103</v>
      </c>
      <c r="B104">
        <v>-1</v>
      </c>
      <c r="C104">
        <v>55.036999999999999</v>
      </c>
      <c r="D104">
        <v>1.5100000000000001E-2</v>
      </c>
      <c r="E104" t="s">
        <v>5</v>
      </c>
      <c r="F104">
        <v>1</v>
      </c>
      <c r="G104">
        <f>COUNTIF(E:E,E104)</f>
        <v>110</v>
      </c>
      <c r="H104">
        <f>COUNTIFS(E:E,E104,A:A,A104,D:D,D104)</f>
        <v>1</v>
      </c>
      <c r="I104" t="e">
        <f>SUMIF([1]Mapeamento!$J:$J,A104,[1]Mapeamento!$L:$L)</f>
        <v>#VALUE!</v>
      </c>
      <c r="J104" s="1" t="e">
        <f>SUMIF('[1]Map_Meso-Ox'!$C:$C,A104,'[1]Map_Meso-Ox'!$D:$D)</f>
        <v>#VALUE!</v>
      </c>
      <c r="K104" s="2" t="e">
        <f t="shared" si="2"/>
        <v>#VALUE!</v>
      </c>
      <c r="L104" s="1" t="e">
        <f>SUMIF('[1]Map_Meso-Ox'!$C:$C,A104,'[1]Map_Meso-Ox'!$E:$E)</f>
        <v>#VALUE!</v>
      </c>
      <c r="M104" s="2" t="e">
        <f t="shared" si="3"/>
        <v>#VALUE!</v>
      </c>
    </row>
    <row r="105" spans="1:13" x14ac:dyDescent="0.25">
      <c r="A105">
        <v>104</v>
      </c>
      <c r="B105">
        <v>-1</v>
      </c>
      <c r="C105">
        <v>38.36</v>
      </c>
      <c r="D105">
        <v>3.0200000000000001E-2</v>
      </c>
      <c r="E105" t="s">
        <v>5</v>
      </c>
      <c r="F105">
        <v>1</v>
      </c>
      <c r="G105">
        <f>COUNTIF(E:E,E105)</f>
        <v>110</v>
      </c>
      <c r="H105">
        <f>COUNTIFS(E:E,E105,A:A,A105,D:D,D105)</f>
        <v>1</v>
      </c>
      <c r="I105" t="e">
        <f>SUMIF([1]Mapeamento!$J:$J,A105,[1]Mapeamento!$L:$L)</f>
        <v>#VALUE!</v>
      </c>
      <c r="J105" s="1" t="e">
        <f>SUMIF('[1]Map_Meso-Ox'!$C:$C,A105,'[1]Map_Meso-Ox'!$D:$D)</f>
        <v>#VALUE!</v>
      </c>
      <c r="K105" s="2" t="e">
        <f t="shared" si="2"/>
        <v>#VALUE!</v>
      </c>
      <c r="L105" s="1" t="e">
        <f>SUMIF('[1]Map_Meso-Ox'!$C:$C,A105,'[1]Map_Meso-Ox'!$E:$E)</f>
        <v>#VALUE!</v>
      </c>
      <c r="M105" s="2" t="e">
        <f t="shared" si="3"/>
        <v>#VALUE!</v>
      </c>
    </row>
    <row r="106" spans="1:13" x14ac:dyDescent="0.25">
      <c r="A106">
        <v>105</v>
      </c>
      <c r="B106">
        <v>-1</v>
      </c>
      <c r="C106">
        <v>39.53</v>
      </c>
      <c r="D106">
        <v>0</v>
      </c>
      <c r="E106" t="s">
        <v>5</v>
      </c>
      <c r="F106">
        <v>2</v>
      </c>
      <c r="G106">
        <f>COUNTIF(E:E,E106)</f>
        <v>110</v>
      </c>
      <c r="H106">
        <f>COUNTIFS(E:E,E106,A:A,A106,D:D,D106)</f>
        <v>1</v>
      </c>
      <c r="I106" t="e">
        <f>SUMIF([1]Mapeamento!$J:$J,A106,[1]Mapeamento!$L:$L)</f>
        <v>#VALUE!</v>
      </c>
      <c r="J106" s="1" t="e">
        <f>SUMIF('[1]Map_Meso-Ox'!$C:$C,A106,'[1]Map_Meso-Ox'!$D:$D)</f>
        <v>#VALUE!</v>
      </c>
      <c r="K106" s="2" t="e">
        <f t="shared" si="2"/>
        <v>#VALUE!</v>
      </c>
      <c r="L106" s="1" t="e">
        <f>SUMIF('[1]Map_Meso-Ox'!$C:$C,A106,'[1]Map_Meso-Ox'!$E:$E)</f>
        <v>#VALUE!</v>
      </c>
      <c r="M106" s="2" t="e">
        <f t="shared" si="3"/>
        <v>#VALUE!</v>
      </c>
    </row>
    <row r="107" spans="1:13" x14ac:dyDescent="0.25">
      <c r="A107">
        <v>106</v>
      </c>
      <c r="B107">
        <v>-1</v>
      </c>
      <c r="C107">
        <v>41.374000000000002</v>
      </c>
      <c r="D107">
        <v>2.01E-2</v>
      </c>
      <c r="E107" t="s">
        <v>5</v>
      </c>
      <c r="F107">
        <v>2</v>
      </c>
      <c r="G107">
        <f>COUNTIF(E:E,E107)</f>
        <v>110</v>
      </c>
      <c r="H107">
        <f>COUNTIFS(E:E,E107,A:A,A107,D:D,D107)</f>
        <v>1</v>
      </c>
      <c r="I107" t="e">
        <f>SUMIF([1]Mapeamento!$J:$J,A107,[1]Mapeamento!$L:$L)</f>
        <v>#VALUE!</v>
      </c>
      <c r="J107" s="1" t="e">
        <f>SUMIF('[1]Map_Meso-Ox'!$C:$C,A107,'[1]Map_Meso-Ox'!$D:$D)</f>
        <v>#VALUE!</v>
      </c>
      <c r="K107" s="2" t="e">
        <f t="shared" si="2"/>
        <v>#VALUE!</v>
      </c>
      <c r="L107" s="1" t="e">
        <f>SUMIF('[1]Map_Meso-Ox'!$C:$C,A107,'[1]Map_Meso-Ox'!$E:$E)</f>
        <v>#VALUE!</v>
      </c>
      <c r="M107" s="2" t="e">
        <f t="shared" si="3"/>
        <v>#VALUE!</v>
      </c>
    </row>
    <row r="108" spans="1:13" x14ac:dyDescent="0.25">
      <c r="A108">
        <v>107</v>
      </c>
      <c r="B108">
        <v>-1</v>
      </c>
      <c r="C108">
        <v>39.921999999999997</v>
      </c>
      <c r="D108">
        <v>1.5100000000000001E-2</v>
      </c>
      <c r="E108" t="s">
        <v>5</v>
      </c>
      <c r="F108">
        <v>1</v>
      </c>
      <c r="G108">
        <f>COUNTIF(E:E,E108)</f>
        <v>110</v>
      </c>
      <c r="H108">
        <f>COUNTIFS(E:E,E108,A:A,A108,D:D,D108)</f>
        <v>1</v>
      </c>
      <c r="I108" t="e">
        <f>SUMIF([1]Mapeamento!$J:$J,A108,[1]Mapeamento!$L:$L)</f>
        <v>#VALUE!</v>
      </c>
      <c r="J108" s="1" t="e">
        <f>SUMIF('[1]Map_Meso-Ox'!$C:$C,A108,'[1]Map_Meso-Ox'!$D:$D)</f>
        <v>#VALUE!</v>
      </c>
      <c r="K108" s="2" t="e">
        <f t="shared" si="2"/>
        <v>#VALUE!</v>
      </c>
      <c r="L108" s="1" t="e">
        <f>SUMIF('[1]Map_Meso-Ox'!$C:$C,A108,'[1]Map_Meso-Ox'!$E:$E)</f>
        <v>#VALUE!</v>
      </c>
      <c r="M108" s="2" t="e">
        <f t="shared" si="3"/>
        <v>#VALUE!</v>
      </c>
    </row>
    <row r="109" spans="1:13" x14ac:dyDescent="0.25">
      <c r="A109">
        <v>108</v>
      </c>
      <c r="B109">
        <v>-1</v>
      </c>
      <c r="C109">
        <v>42.942999999999998</v>
      </c>
      <c r="D109">
        <v>0</v>
      </c>
      <c r="E109" t="s">
        <v>5</v>
      </c>
      <c r="F109">
        <v>1</v>
      </c>
      <c r="G109">
        <f>COUNTIF(E:E,E109)</f>
        <v>110</v>
      </c>
      <c r="H109">
        <f>COUNTIFS(E:E,E109,A:A,A109,D:D,D109)</f>
        <v>1</v>
      </c>
      <c r="I109" t="e">
        <f>SUMIF([1]Mapeamento!$J:$J,A109,[1]Mapeamento!$L:$L)</f>
        <v>#VALUE!</v>
      </c>
      <c r="J109" s="1" t="e">
        <f>SUMIF('[1]Map_Meso-Ox'!$C:$C,A109,'[1]Map_Meso-Ox'!$D:$D)</f>
        <v>#VALUE!</v>
      </c>
      <c r="K109" s="2" t="e">
        <f t="shared" si="2"/>
        <v>#VALUE!</v>
      </c>
      <c r="L109" s="1" t="e">
        <f>SUMIF('[1]Map_Meso-Ox'!$C:$C,A109,'[1]Map_Meso-Ox'!$E:$E)</f>
        <v>#VALUE!</v>
      </c>
      <c r="M109" s="2" t="e">
        <f t="shared" si="3"/>
        <v>#VALUE!</v>
      </c>
    </row>
    <row r="110" spans="1:13" x14ac:dyDescent="0.25">
      <c r="A110">
        <v>109</v>
      </c>
      <c r="B110">
        <v>-1</v>
      </c>
      <c r="C110">
        <v>32.808999999999997</v>
      </c>
      <c r="D110">
        <v>7.5399999999999995E-2</v>
      </c>
      <c r="E110" t="s">
        <v>5</v>
      </c>
      <c r="F110">
        <v>1</v>
      </c>
      <c r="G110">
        <f>COUNTIF(E:E,E110)</f>
        <v>110</v>
      </c>
      <c r="H110">
        <f>COUNTIFS(E:E,E110,A:A,A110,D:D,D110)</f>
        <v>1</v>
      </c>
      <c r="I110" t="e">
        <f>SUMIF([1]Mapeamento!$J:$J,A110,[1]Mapeamento!$L:$L)</f>
        <v>#VALUE!</v>
      </c>
      <c r="J110" s="1" t="e">
        <f>SUMIF('[1]Map_Meso-Ox'!$C:$C,A110,'[1]Map_Meso-Ox'!$D:$D)</f>
        <v>#VALUE!</v>
      </c>
      <c r="K110" s="2" t="e">
        <f t="shared" si="2"/>
        <v>#VALUE!</v>
      </c>
      <c r="L110" s="1" t="e">
        <f>SUMIF('[1]Map_Meso-Ox'!$C:$C,A110,'[1]Map_Meso-Ox'!$E:$E)</f>
        <v>#VALUE!</v>
      </c>
      <c r="M110" s="2" t="e">
        <f t="shared" si="3"/>
        <v>#VALUE!</v>
      </c>
    </row>
    <row r="111" spans="1:13" x14ac:dyDescent="0.25">
      <c r="A111">
        <v>110</v>
      </c>
      <c r="B111">
        <v>-1</v>
      </c>
      <c r="C111">
        <v>38.988999999999997</v>
      </c>
      <c r="D111">
        <v>2.5100000000000001E-2</v>
      </c>
      <c r="E111" t="s">
        <v>5</v>
      </c>
      <c r="F111">
        <v>2</v>
      </c>
      <c r="G111">
        <f>COUNTIF(E:E,E111)</f>
        <v>110</v>
      </c>
      <c r="H111">
        <f>COUNTIFS(E:E,E111,A:A,A111,D:D,D111)</f>
        <v>1</v>
      </c>
      <c r="I111" t="e">
        <f>SUMIF([1]Mapeamento!$J:$J,A111,[1]Mapeamento!$L:$L)</f>
        <v>#VALUE!</v>
      </c>
      <c r="J111" s="1" t="e">
        <f>SUMIF('[1]Map_Meso-Ox'!$C:$C,A111,'[1]Map_Meso-Ox'!$D:$D)</f>
        <v>#VALUE!</v>
      </c>
      <c r="K111" s="2" t="e">
        <f t="shared" si="2"/>
        <v>#VALUE!</v>
      </c>
      <c r="L111" s="1" t="e">
        <f>SUMIF('[1]Map_Meso-Ox'!$C:$C,A111,'[1]Map_Meso-Ox'!$E:$E)</f>
        <v>#VALUE!</v>
      </c>
      <c r="M111" s="2" t="e">
        <f t="shared" si="3"/>
        <v>#VALUE!</v>
      </c>
    </row>
    <row r="112" spans="1:13" x14ac:dyDescent="0.25">
      <c r="A112">
        <v>1</v>
      </c>
      <c r="B112">
        <v>-1</v>
      </c>
      <c r="C112">
        <v>33.427</v>
      </c>
      <c r="D112">
        <v>4.02E-2</v>
      </c>
      <c r="E112" t="s">
        <v>6</v>
      </c>
      <c r="F112">
        <v>2</v>
      </c>
      <c r="G112">
        <f>COUNTIF(E:E,E112)</f>
        <v>110</v>
      </c>
      <c r="H112">
        <f>COUNTIFS(E:E,E112,A:A,A112,D:D,D112)</f>
        <v>1</v>
      </c>
      <c r="I112" t="e">
        <f>SUMIF([1]Mapeamento!$J:$J,A112,[1]Mapeamento!$L:$L)</f>
        <v>#VALUE!</v>
      </c>
      <c r="J112" s="1" t="e">
        <f>SUMIF('[1]Map_Meso-Ox'!$C:$C,A112,'[1]Map_Meso-Ox'!$D:$D)</f>
        <v>#VALUE!</v>
      </c>
      <c r="K112" s="2" t="e">
        <f t="shared" si="2"/>
        <v>#VALUE!</v>
      </c>
      <c r="L112" s="1" t="e">
        <f>SUMIF('[1]Map_Meso-Ox'!$C:$C,A112,'[1]Map_Meso-Ox'!$E:$E)</f>
        <v>#VALUE!</v>
      </c>
      <c r="M112" s="2" t="e">
        <f t="shared" si="3"/>
        <v>#VALUE!</v>
      </c>
    </row>
    <row r="113" spans="1:13" x14ac:dyDescent="0.25">
      <c r="A113">
        <v>2</v>
      </c>
      <c r="B113">
        <v>-1</v>
      </c>
      <c r="C113">
        <v>62.792999999999999</v>
      </c>
      <c r="D113">
        <v>0</v>
      </c>
      <c r="E113" t="s">
        <v>6</v>
      </c>
      <c r="F113">
        <v>2</v>
      </c>
      <c r="G113">
        <f>COUNTIF(E:E,E113)</f>
        <v>110</v>
      </c>
      <c r="H113">
        <f>COUNTIFS(E:E,E113,A:A,A113,D:D,D113)</f>
        <v>1</v>
      </c>
      <c r="I113" t="e">
        <f>SUMIF([1]Mapeamento!$J:$J,A113,[1]Mapeamento!$L:$L)</f>
        <v>#VALUE!</v>
      </c>
      <c r="J113" s="1" t="e">
        <f>SUMIF('[1]Map_Meso-Ox'!$C:$C,A113,'[1]Map_Meso-Ox'!$D:$D)</f>
        <v>#VALUE!</v>
      </c>
      <c r="K113" s="2" t="e">
        <f t="shared" si="2"/>
        <v>#VALUE!</v>
      </c>
      <c r="L113" s="1" t="e">
        <f>SUMIF('[1]Map_Meso-Ox'!$C:$C,A113,'[1]Map_Meso-Ox'!$E:$E)</f>
        <v>#VALUE!</v>
      </c>
      <c r="M113" s="2" t="e">
        <f t="shared" si="3"/>
        <v>#VALUE!</v>
      </c>
    </row>
    <row r="114" spans="1:13" x14ac:dyDescent="0.25">
      <c r="A114">
        <v>3</v>
      </c>
      <c r="B114">
        <v>-1</v>
      </c>
      <c r="C114">
        <v>39.892000000000003</v>
      </c>
      <c r="D114">
        <v>3.0200000000000001E-2</v>
      </c>
      <c r="E114" t="s">
        <v>6</v>
      </c>
      <c r="F114">
        <v>1</v>
      </c>
      <c r="G114">
        <f>COUNTIF(E:E,E114)</f>
        <v>110</v>
      </c>
      <c r="H114">
        <f>COUNTIFS(E:E,E114,A:A,A114,D:D,D114)</f>
        <v>1</v>
      </c>
      <c r="I114" t="e">
        <f>SUMIF([1]Mapeamento!$J:$J,A114,[1]Mapeamento!$L:$L)</f>
        <v>#VALUE!</v>
      </c>
      <c r="J114" s="1" t="e">
        <f>SUMIF('[1]Map_Meso-Ox'!$C:$C,A114,'[1]Map_Meso-Ox'!$D:$D)</f>
        <v>#VALUE!</v>
      </c>
      <c r="K114" s="2" t="e">
        <f t="shared" si="2"/>
        <v>#VALUE!</v>
      </c>
      <c r="L114" s="1" t="e">
        <f>SUMIF('[1]Map_Meso-Ox'!$C:$C,A114,'[1]Map_Meso-Ox'!$E:$E)</f>
        <v>#VALUE!</v>
      </c>
      <c r="M114" s="2" t="e">
        <f t="shared" si="3"/>
        <v>#VALUE!</v>
      </c>
    </row>
    <row r="115" spans="1:13" x14ac:dyDescent="0.25">
      <c r="A115">
        <v>4</v>
      </c>
      <c r="B115">
        <v>-1</v>
      </c>
      <c r="C115">
        <v>45.616</v>
      </c>
      <c r="D115">
        <v>0</v>
      </c>
      <c r="E115" t="s">
        <v>6</v>
      </c>
      <c r="F115">
        <v>1</v>
      </c>
      <c r="G115">
        <f>COUNTIF(E:E,E115)</f>
        <v>110</v>
      </c>
      <c r="H115">
        <f>COUNTIFS(E:E,E115,A:A,A115,D:D,D115)</f>
        <v>1</v>
      </c>
      <c r="I115" t="e">
        <f>SUMIF([1]Mapeamento!$J:$J,A115,[1]Mapeamento!$L:$L)</f>
        <v>#VALUE!</v>
      </c>
      <c r="J115" s="1" t="e">
        <f>SUMIF('[1]Map_Meso-Ox'!$C:$C,A115,'[1]Map_Meso-Ox'!$D:$D)</f>
        <v>#VALUE!</v>
      </c>
      <c r="K115" s="2" t="e">
        <f t="shared" si="2"/>
        <v>#VALUE!</v>
      </c>
      <c r="L115" s="1" t="e">
        <f>SUMIF('[1]Map_Meso-Ox'!$C:$C,A115,'[1]Map_Meso-Ox'!$E:$E)</f>
        <v>#VALUE!</v>
      </c>
      <c r="M115" s="2" t="e">
        <f t="shared" si="3"/>
        <v>#VALUE!</v>
      </c>
    </row>
    <row r="116" spans="1:13" x14ac:dyDescent="0.25">
      <c r="A116">
        <v>5</v>
      </c>
      <c r="B116">
        <v>-1</v>
      </c>
      <c r="C116">
        <v>32.564999999999998</v>
      </c>
      <c r="D116">
        <v>0.29649999999999999</v>
      </c>
      <c r="E116" t="s">
        <v>6</v>
      </c>
      <c r="F116">
        <v>0</v>
      </c>
      <c r="G116">
        <f>COUNTIF(E:E,E116)</f>
        <v>110</v>
      </c>
      <c r="H116">
        <f>COUNTIFS(E:E,E116,A:A,A116,D:D,D116)</f>
        <v>1</v>
      </c>
      <c r="I116" t="e">
        <f>SUMIF([1]Mapeamento!$J:$J,A116,[1]Mapeamento!$L:$L)</f>
        <v>#VALUE!</v>
      </c>
      <c r="J116" s="1" t="e">
        <f>SUMIF('[1]Map_Meso-Ox'!$C:$C,A116,'[1]Map_Meso-Ox'!$D:$D)</f>
        <v>#VALUE!</v>
      </c>
      <c r="K116" s="2" t="e">
        <f t="shared" si="2"/>
        <v>#VALUE!</v>
      </c>
      <c r="L116" s="1" t="e">
        <f>SUMIF('[1]Map_Meso-Ox'!$C:$C,A116,'[1]Map_Meso-Ox'!$E:$E)</f>
        <v>#VALUE!</v>
      </c>
      <c r="M116" s="2" t="e">
        <f t="shared" si="3"/>
        <v>#VALUE!</v>
      </c>
    </row>
    <row r="117" spans="1:13" x14ac:dyDescent="0.25">
      <c r="A117">
        <v>6</v>
      </c>
      <c r="B117">
        <v>-1</v>
      </c>
      <c r="C117">
        <v>33.365000000000002</v>
      </c>
      <c r="D117">
        <v>5.5300000000000002E-2</v>
      </c>
      <c r="E117" t="s">
        <v>6</v>
      </c>
      <c r="F117">
        <v>1</v>
      </c>
      <c r="G117">
        <f>COUNTIF(E:E,E117)</f>
        <v>110</v>
      </c>
      <c r="H117">
        <f>COUNTIFS(E:E,E117,A:A,A117,D:D,D117)</f>
        <v>1</v>
      </c>
      <c r="I117" t="e">
        <f>SUMIF([1]Mapeamento!$J:$J,A117,[1]Mapeamento!$L:$L)</f>
        <v>#VALUE!</v>
      </c>
      <c r="J117" s="1" t="e">
        <f>SUMIF('[1]Map_Meso-Ox'!$C:$C,A117,'[1]Map_Meso-Ox'!$D:$D)</f>
        <v>#VALUE!</v>
      </c>
      <c r="K117" s="2" t="e">
        <f t="shared" si="2"/>
        <v>#VALUE!</v>
      </c>
      <c r="L117" s="1" t="e">
        <f>SUMIF('[1]Map_Meso-Ox'!$C:$C,A117,'[1]Map_Meso-Ox'!$E:$E)</f>
        <v>#VALUE!</v>
      </c>
      <c r="M117" s="2" t="e">
        <f t="shared" si="3"/>
        <v>#VALUE!</v>
      </c>
    </row>
    <row r="118" spans="1:13" x14ac:dyDescent="0.25">
      <c r="A118">
        <v>7</v>
      </c>
      <c r="B118">
        <v>-1</v>
      </c>
      <c r="C118">
        <v>23.922000000000001</v>
      </c>
      <c r="D118">
        <v>0.23619999999999999</v>
      </c>
      <c r="E118" t="s">
        <v>6</v>
      </c>
      <c r="F118">
        <v>1</v>
      </c>
      <c r="G118">
        <f>COUNTIF(E:E,E118)</f>
        <v>110</v>
      </c>
      <c r="H118">
        <f>COUNTIFS(E:E,E118,A:A,A118,D:D,D118)</f>
        <v>1</v>
      </c>
      <c r="I118" t="e">
        <f>SUMIF([1]Mapeamento!$J:$J,A118,[1]Mapeamento!$L:$L)</f>
        <v>#VALUE!</v>
      </c>
      <c r="J118" s="1" t="e">
        <f>SUMIF('[1]Map_Meso-Ox'!$C:$C,A118,'[1]Map_Meso-Ox'!$D:$D)</f>
        <v>#VALUE!</v>
      </c>
      <c r="K118" s="2" t="e">
        <f t="shared" si="2"/>
        <v>#VALUE!</v>
      </c>
      <c r="L118" s="1" t="e">
        <f>SUMIF('[1]Map_Meso-Ox'!$C:$C,A118,'[1]Map_Meso-Ox'!$E:$E)</f>
        <v>#VALUE!</v>
      </c>
      <c r="M118" s="2" t="e">
        <f t="shared" si="3"/>
        <v>#VALUE!</v>
      </c>
    </row>
    <row r="119" spans="1:13" x14ac:dyDescent="0.25">
      <c r="A119">
        <v>8</v>
      </c>
      <c r="B119">
        <v>-1</v>
      </c>
      <c r="C119">
        <v>33.36</v>
      </c>
      <c r="D119">
        <v>0.13070000000000001</v>
      </c>
      <c r="E119" t="s">
        <v>6</v>
      </c>
      <c r="F119">
        <v>0</v>
      </c>
      <c r="G119">
        <f>COUNTIF(E:E,E119)</f>
        <v>110</v>
      </c>
      <c r="H119">
        <f>COUNTIFS(E:E,E119,A:A,A119,D:D,D119)</f>
        <v>1</v>
      </c>
      <c r="I119" t="e">
        <f>SUMIF([1]Mapeamento!$J:$J,A119,[1]Mapeamento!$L:$L)</f>
        <v>#VALUE!</v>
      </c>
      <c r="J119" s="1" t="e">
        <f>SUMIF('[1]Map_Meso-Ox'!$C:$C,A119,'[1]Map_Meso-Ox'!$D:$D)</f>
        <v>#VALUE!</v>
      </c>
      <c r="K119" s="2" t="e">
        <f t="shared" si="2"/>
        <v>#VALUE!</v>
      </c>
      <c r="L119" s="1" t="e">
        <f>SUMIF('[1]Map_Meso-Ox'!$C:$C,A119,'[1]Map_Meso-Ox'!$E:$E)</f>
        <v>#VALUE!</v>
      </c>
      <c r="M119" s="2" t="e">
        <f t="shared" si="3"/>
        <v>#VALUE!</v>
      </c>
    </row>
    <row r="120" spans="1:13" x14ac:dyDescent="0.25">
      <c r="A120">
        <v>9</v>
      </c>
      <c r="B120">
        <v>-1</v>
      </c>
      <c r="C120">
        <v>29.576000000000001</v>
      </c>
      <c r="D120">
        <v>0.15579999999999999</v>
      </c>
      <c r="E120" t="s">
        <v>6</v>
      </c>
      <c r="F120">
        <v>0</v>
      </c>
      <c r="G120">
        <f>COUNTIF(E:E,E120)</f>
        <v>110</v>
      </c>
      <c r="H120">
        <f>COUNTIFS(E:E,E120,A:A,A120,D:D,D120)</f>
        <v>1</v>
      </c>
      <c r="I120" t="e">
        <f>SUMIF([1]Mapeamento!$J:$J,A120,[1]Mapeamento!$L:$L)</f>
        <v>#VALUE!</v>
      </c>
      <c r="J120" s="1" t="e">
        <f>SUMIF('[1]Map_Meso-Ox'!$C:$C,A120,'[1]Map_Meso-Ox'!$D:$D)</f>
        <v>#VALUE!</v>
      </c>
      <c r="K120" s="2" t="e">
        <f t="shared" si="2"/>
        <v>#VALUE!</v>
      </c>
      <c r="L120" s="1" t="e">
        <f>SUMIF('[1]Map_Meso-Ox'!$C:$C,A120,'[1]Map_Meso-Ox'!$E:$E)</f>
        <v>#VALUE!</v>
      </c>
      <c r="M120" s="2" t="e">
        <f t="shared" si="3"/>
        <v>#VALUE!</v>
      </c>
    </row>
    <row r="121" spans="1:13" x14ac:dyDescent="0.25">
      <c r="A121">
        <v>10</v>
      </c>
      <c r="B121">
        <v>-1</v>
      </c>
      <c r="C121">
        <v>28.045000000000002</v>
      </c>
      <c r="D121">
        <v>0.1206</v>
      </c>
      <c r="E121" t="s">
        <v>6</v>
      </c>
      <c r="F121">
        <v>0</v>
      </c>
      <c r="G121">
        <f>COUNTIF(E:E,E121)</f>
        <v>110</v>
      </c>
      <c r="H121">
        <f>COUNTIFS(E:E,E121,A:A,A121,D:D,D121)</f>
        <v>1</v>
      </c>
      <c r="I121" t="e">
        <f>SUMIF([1]Mapeamento!$J:$J,A121,[1]Mapeamento!$L:$L)</f>
        <v>#VALUE!</v>
      </c>
      <c r="J121" s="1" t="e">
        <f>SUMIF('[1]Map_Meso-Ox'!$C:$C,A121,'[1]Map_Meso-Ox'!$D:$D)</f>
        <v>#VALUE!</v>
      </c>
      <c r="K121" s="2" t="e">
        <f t="shared" si="2"/>
        <v>#VALUE!</v>
      </c>
      <c r="L121" s="1" t="e">
        <f>SUMIF('[1]Map_Meso-Ox'!$C:$C,A121,'[1]Map_Meso-Ox'!$E:$E)</f>
        <v>#VALUE!</v>
      </c>
      <c r="M121" s="2" t="e">
        <f t="shared" si="3"/>
        <v>#VALUE!</v>
      </c>
    </row>
    <row r="122" spans="1:13" x14ac:dyDescent="0.25">
      <c r="A122">
        <v>11</v>
      </c>
      <c r="B122">
        <v>-1</v>
      </c>
      <c r="C122">
        <v>26.942</v>
      </c>
      <c r="D122">
        <v>0.21609999999999999</v>
      </c>
      <c r="E122" t="s">
        <v>6</v>
      </c>
      <c r="F122">
        <v>0</v>
      </c>
      <c r="G122">
        <f>COUNTIF(E:E,E122)</f>
        <v>110</v>
      </c>
      <c r="H122">
        <f>COUNTIFS(E:E,E122,A:A,A122,D:D,D122)</f>
        <v>1</v>
      </c>
      <c r="I122" t="e">
        <f>SUMIF([1]Mapeamento!$J:$J,A122,[1]Mapeamento!$L:$L)</f>
        <v>#VALUE!</v>
      </c>
      <c r="J122" s="1" t="e">
        <f>SUMIF('[1]Map_Meso-Ox'!$C:$C,A122,'[1]Map_Meso-Ox'!$D:$D)</f>
        <v>#VALUE!</v>
      </c>
      <c r="K122" s="2" t="e">
        <f t="shared" si="2"/>
        <v>#VALUE!</v>
      </c>
      <c r="L122" s="1" t="e">
        <f>SUMIF('[1]Map_Meso-Ox'!$C:$C,A122,'[1]Map_Meso-Ox'!$E:$E)</f>
        <v>#VALUE!</v>
      </c>
      <c r="M122" s="2" t="e">
        <f t="shared" si="3"/>
        <v>#VALUE!</v>
      </c>
    </row>
    <row r="123" spans="1:13" x14ac:dyDescent="0.25">
      <c r="A123">
        <v>12</v>
      </c>
      <c r="B123">
        <v>-1</v>
      </c>
      <c r="C123">
        <v>37.173999999999999</v>
      </c>
      <c r="D123">
        <v>4.02E-2</v>
      </c>
      <c r="E123" t="s">
        <v>6</v>
      </c>
      <c r="F123">
        <v>1</v>
      </c>
      <c r="G123">
        <f>COUNTIF(E:E,E123)</f>
        <v>110</v>
      </c>
      <c r="H123">
        <f>COUNTIFS(E:E,E123,A:A,A123,D:D,D123)</f>
        <v>1</v>
      </c>
      <c r="I123" t="e">
        <f>SUMIF([1]Mapeamento!$J:$J,A123,[1]Mapeamento!$L:$L)</f>
        <v>#VALUE!</v>
      </c>
      <c r="J123" s="1" t="e">
        <f>SUMIF('[1]Map_Meso-Ox'!$C:$C,A123,'[1]Map_Meso-Ox'!$D:$D)</f>
        <v>#VALUE!</v>
      </c>
      <c r="K123" s="2" t="e">
        <f t="shared" si="2"/>
        <v>#VALUE!</v>
      </c>
      <c r="L123" s="1" t="e">
        <f>SUMIF('[1]Map_Meso-Ox'!$C:$C,A123,'[1]Map_Meso-Ox'!$E:$E)</f>
        <v>#VALUE!</v>
      </c>
      <c r="M123" s="2" t="e">
        <f t="shared" si="3"/>
        <v>#VALUE!</v>
      </c>
    </row>
    <row r="124" spans="1:13" x14ac:dyDescent="0.25">
      <c r="A124">
        <v>13</v>
      </c>
      <c r="B124">
        <v>-1</v>
      </c>
      <c r="C124">
        <v>29.669</v>
      </c>
      <c r="D124">
        <v>0.15579999999999999</v>
      </c>
      <c r="E124" t="s">
        <v>6</v>
      </c>
      <c r="F124">
        <v>1</v>
      </c>
      <c r="G124">
        <f>COUNTIF(E:E,E124)</f>
        <v>110</v>
      </c>
      <c r="H124">
        <f>COUNTIFS(E:E,E124,A:A,A124,D:D,D124)</f>
        <v>1</v>
      </c>
      <c r="I124" t="e">
        <f>SUMIF([1]Mapeamento!$J:$J,A124,[1]Mapeamento!$L:$L)</f>
        <v>#VALUE!</v>
      </c>
      <c r="J124" s="1" t="e">
        <f>SUMIF('[1]Map_Meso-Ox'!$C:$C,A124,'[1]Map_Meso-Ox'!$D:$D)</f>
        <v>#VALUE!</v>
      </c>
      <c r="K124" s="2" t="e">
        <f t="shared" si="2"/>
        <v>#VALUE!</v>
      </c>
      <c r="L124" s="1" t="e">
        <f>SUMIF('[1]Map_Meso-Ox'!$C:$C,A124,'[1]Map_Meso-Ox'!$E:$E)</f>
        <v>#VALUE!</v>
      </c>
      <c r="M124" s="2" t="e">
        <f t="shared" si="3"/>
        <v>#VALUE!</v>
      </c>
    </row>
    <row r="125" spans="1:13" x14ac:dyDescent="0.25">
      <c r="A125">
        <v>14</v>
      </c>
      <c r="B125">
        <v>-1</v>
      </c>
      <c r="C125">
        <v>58.228999999999999</v>
      </c>
      <c r="D125">
        <v>0</v>
      </c>
      <c r="E125" t="s">
        <v>6</v>
      </c>
      <c r="F125">
        <v>1</v>
      </c>
      <c r="G125">
        <f>COUNTIF(E:E,E125)</f>
        <v>110</v>
      </c>
      <c r="H125">
        <f>COUNTIFS(E:E,E125,A:A,A125,D:D,D125)</f>
        <v>1</v>
      </c>
      <c r="I125" t="e">
        <f>SUMIF([1]Mapeamento!$J:$J,A125,[1]Mapeamento!$L:$L)</f>
        <v>#VALUE!</v>
      </c>
      <c r="J125" s="1" t="e">
        <f>SUMIF('[1]Map_Meso-Ox'!$C:$C,A125,'[1]Map_Meso-Ox'!$D:$D)</f>
        <v>#VALUE!</v>
      </c>
      <c r="K125" s="2" t="e">
        <f t="shared" si="2"/>
        <v>#VALUE!</v>
      </c>
      <c r="L125" s="1" t="e">
        <f>SUMIF('[1]Map_Meso-Ox'!$C:$C,A125,'[1]Map_Meso-Ox'!$E:$E)</f>
        <v>#VALUE!</v>
      </c>
      <c r="M125" s="2" t="e">
        <f t="shared" si="3"/>
        <v>#VALUE!</v>
      </c>
    </row>
    <row r="126" spans="1:13" x14ac:dyDescent="0.25">
      <c r="A126">
        <v>15</v>
      </c>
      <c r="B126">
        <v>-1</v>
      </c>
      <c r="C126">
        <v>31.501000000000001</v>
      </c>
      <c r="D126">
        <v>0.20599999999999999</v>
      </c>
      <c r="E126" t="s">
        <v>6</v>
      </c>
      <c r="F126">
        <v>0</v>
      </c>
      <c r="G126">
        <f>COUNTIF(E:E,E126)</f>
        <v>110</v>
      </c>
      <c r="H126">
        <f>COUNTIFS(E:E,E126,A:A,A126,D:D,D126)</f>
        <v>1</v>
      </c>
      <c r="I126" t="e">
        <f>SUMIF([1]Mapeamento!$J:$J,A126,[1]Mapeamento!$L:$L)</f>
        <v>#VALUE!</v>
      </c>
      <c r="J126" s="1" t="e">
        <f>SUMIF('[1]Map_Meso-Ox'!$C:$C,A126,'[1]Map_Meso-Ox'!$D:$D)</f>
        <v>#VALUE!</v>
      </c>
      <c r="K126" s="2" t="e">
        <f t="shared" si="2"/>
        <v>#VALUE!</v>
      </c>
      <c r="L126" s="1" t="e">
        <f>SUMIF('[1]Map_Meso-Ox'!$C:$C,A126,'[1]Map_Meso-Ox'!$E:$E)</f>
        <v>#VALUE!</v>
      </c>
      <c r="M126" s="2" t="e">
        <f t="shared" si="3"/>
        <v>#VALUE!</v>
      </c>
    </row>
    <row r="127" spans="1:13" x14ac:dyDescent="0.25">
      <c r="A127">
        <v>16</v>
      </c>
      <c r="B127">
        <v>-1</v>
      </c>
      <c r="C127">
        <v>72.155000000000001</v>
      </c>
      <c r="D127">
        <v>0</v>
      </c>
      <c r="E127" t="s">
        <v>6</v>
      </c>
      <c r="F127">
        <v>1</v>
      </c>
      <c r="G127">
        <f>COUNTIF(E:E,E127)</f>
        <v>110</v>
      </c>
      <c r="H127">
        <f>COUNTIFS(E:E,E127,A:A,A127,D:D,D127)</f>
        <v>1</v>
      </c>
      <c r="I127" t="e">
        <f>SUMIF([1]Mapeamento!$J:$J,A127,[1]Mapeamento!$L:$L)</f>
        <v>#VALUE!</v>
      </c>
      <c r="J127" s="1" t="e">
        <f>SUMIF('[1]Map_Meso-Ox'!$C:$C,A127,'[1]Map_Meso-Ox'!$D:$D)</f>
        <v>#VALUE!</v>
      </c>
      <c r="K127" s="2" t="e">
        <f t="shared" si="2"/>
        <v>#VALUE!</v>
      </c>
      <c r="L127" s="1" t="e">
        <f>SUMIF('[1]Map_Meso-Ox'!$C:$C,A127,'[1]Map_Meso-Ox'!$E:$E)</f>
        <v>#VALUE!</v>
      </c>
      <c r="M127" s="2" t="e">
        <f t="shared" si="3"/>
        <v>#VALUE!</v>
      </c>
    </row>
    <row r="128" spans="1:13" x14ac:dyDescent="0.25">
      <c r="A128">
        <v>17</v>
      </c>
      <c r="B128">
        <v>-1</v>
      </c>
      <c r="C128">
        <v>69.539000000000001</v>
      </c>
      <c r="D128">
        <v>0</v>
      </c>
      <c r="E128" t="s">
        <v>6</v>
      </c>
      <c r="F128">
        <v>3</v>
      </c>
      <c r="G128">
        <f>COUNTIF(E:E,E128)</f>
        <v>110</v>
      </c>
      <c r="H128">
        <f>COUNTIFS(E:E,E128,A:A,A128,D:D,D128)</f>
        <v>1</v>
      </c>
      <c r="I128" t="e">
        <f>SUMIF([1]Mapeamento!$J:$J,A128,[1]Mapeamento!$L:$L)</f>
        <v>#VALUE!</v>
      </c>
      <c r="J128" s="1" t="e">
        <f>SUMIF('[1]Map_Meso-Ox'!$C:$C,A128,'[1]Map_Meso-Ox'!$D:$D)</f>
        <v>#VALUE!</v>
      </c>
      <c r="K128" s="2" t="e">
        <f t="shared" si="2"/>
        <v>#VALUE!</v>
      </c>
      <c r="L128" s="1" t="e">
        <f>SUMIF('[1]Map_Meso-Ox'!$C:$C,A128,'[1]Map_Meso-Ox'!$E:$E)</f>
        <v>#VALUE!</v>
      </c>
      <c r="M128" s="2" t="e">
        <f t="shared" si="3"/>
        <v>#VALUE!</v>
      </c>
    </row>
    <row r="129" spans="1:13" x14ac:dyDescent="0.25">
      <c r="A129">
        <v>18</v>
      </c>
      <c r="B129">
        <v>-1</v>
      </c>
      <c r="C129">
        <v>36.598999999999997</v>
      </c>
      <c r="D129">
        <v>1.01E-2</v>
      </c>
      <c r="E129" t="s">
        <v>6</v>
      </c>
      <c r="F129">
        <v>3</v>
      </c>
      <c r="G129">
        <f>COUNTIF(E:E,E129)</f>
        <v>110</v>
      </c>
      <c r="H129">
        <f>COUNTIFS(E:E,E129,A:A,A129,D:D,D129)</f>
        <v>1</v>
      </c>
      <c r="I129" t="e">
        <f>SUMIF([1]Mapeamento!$J:$J,A129,[1]Mapeamento!$L:$L)</f>
        <v>#VALUE!</v>
      </c>
      <c r="J129" s="1" t="e">
        <f>SUMIF('[1]Map_Meso-Ox'!$C:$C,A129,'[1]Map_Meso-Ox'!$D:$D)</f>
        <v>#VALUE!</v>
      </c>
      <c r="K129" s="2" t="e">
        <f t="shared" si="2"/>
        <v>#VALUE!</v>
      </c>
      <c r="L129" s="1" t="e">
        <f>SUMIF('[1]Map_Meso-Ox'!$C:$C,A129,'[1]Map_Meso-Ox'!$E:$E)</f>
        <v>#VALUE!</v>
      </c>
      <c r="M129" s="2" t="e">
        <f t="shared" si="3"/>
        <v>#VALUE!</v>
      </c>
    </row>
    <row r="130" spans="1:13" x14ac:dyDescent="0.25">
      <c r="A130">
        <v>19</v>
      </c>
      <c r="B130">
        <v>-1</v>
      </c>
      <c r="C130">
        <v>70.796000000000006</v>
      </c>
      <c r="D130">
        <v>0</v>
      </c>
      <c r="E130" t="s">
        <v>6</v>
      </c>
      <c r="F130">
        <v>2</v>
      </c>
      <c r="G130">
        <f>COUNTIF(E:E,E130)</f>
        <v>110</v>
      </c>
      <c r="H130">
        <f>COUNTIFS(E:E,E130,A:A,A130,D:D,D130)</f>
        <v>1</v>
      </c>
      <c r="I130" t="e">
        <f>SUMIF([1]Mapeamento!$J:$J,A130,[1]Mapeamento!$L:$L)</f>
        <v>#VALUE!</v>
      </c>
      <c r="J130" s="1" t="e">
        <f>SUMIF('[1]Map_Meso-Ox'!$C:$C,A130,'[1]Map_Meso-Ox'!$D:$D)</f>
        <v>#VALUE!</v>
      </c>
      <c r="K130" s="2" t="e">
        <f t="shared" si="2"/>
        <v>#VALUE!</v>
      </c>
      <c r="L130" s="1" t="e">
        <f>SUMIF('[1]Map_Meso-Ox'!$C:$C,A130,'[1]Map_Meso-Ox'!$E:$E)</f>
        <v>#VALUE!</v>
      </c>
      <c r="M130" s="2" t="e">
        <f t="shared" si="3"/>
        <v>#VALUE!</v>
      </c>
    </row>
    <row r="131" spans="1:13" x14ac:dyDescent="0.25">
      <c r="A131">
        <v>20</v>
      </c>
      <c r="B131">
        <v>-1</v>
      </c>
      <c r="C131">
        <v>39.515000000000001</v>
      </c>
      <c r="D131">
        <v>3.5200000000000002E-2</v>
      </c>
      <c r="E131" t="s">
        <v>6</v>
      </c>
      <c r="F131">
        <v>2</v>
      </c>
      <c r="G131">
        <f>COUNTIF(E:E,E131)</f>
        <v>110</v>
      </c>
      <c r="H131">
        <f>COUNTIFS(E:E,E131,A:A,A131,D:D,D131)</f>
        <v>1</v>
      </c>
      <c r="I131" t="e">
        <f>SUMIF([1]Mapeamento!$J:$J,A131,[1]Mapeamento!$L:$L)</f>
        <v>#VALUE!</v>
      </c>
      <c r="J131" s="1" t="e">
        <f>SUMIF('[1]Map_Meso-Ox'!$C:$C,A131,'[1]Map_Meso-Ox'!$D:$D)</f>
        <v>#VALUE!</v>
      </c>
      <c r="K131" s="2" t="e">
        <f t="shared" ref="K131:K194" si="4">J131/203401269</f>
        <v>#VALUE!</v>
      </c>
      <c r="L131" s="1" t="e">
        <f>SUMIF('[1]Map_Meso-Ox'!$C:$C,A131,'[1]Map_Meso-Ox'!$E:$E)</f>
        <v>#VALUE!</v>
      </c>
      <c r="M131" s="2" t="e">
        <f t="shared" ref="M131:M194" si="5">L131/3868725997.715</f>
        <v>#VALUE!</v>
      </c>
    </row>
    <row r="132" spans="1:13" x14ac:dyDescent="0.25">
      <c r="A132">
        <v>21</v>
      </c>
      <c r="B132">
        <v>-1</v>
      </c>
      <c r="C132">
        <v>55.587000000000003</v>
      </c>
      <c r="D132">
        <v>0</v>
      </c>
      <c r="E132" t="s">
        <v>6</v>
      </c>
      <c r="F132">
        <v>2</v>
      </c>
      <c r="G132">
        <f>COUNTIF(E:E,E132)</f>
        <v>110</v>
      </c>
      <c r="H132">
        <f>COUNTIFS(E:E,E132,A:A,A132,D:D,D132)</f>
        <v>1</v>
      </c>
      <c r="I132" t="e">
        <f>SUMIF([1]Mapeamento!$J:$J,A132,[1]Mapeamento!$L:$L)</f>
        <v>#VALUE!</v>
      </c>
      <c r="J132" s="1" t="e">
        <f>SUMIF('[1]Map_Meso-Ox'!$C:$C,A132,'[1]Map_Meso-Ox'!$D:$D)</f>
        <v>#VALUE!</v>
      </c>
      <c r="K132" s="2" t="e">
        <f t="shared" si="4"/>
        <v>#VALUE!</v>
      </c>
      <c r="L132" s="1" t="e">
        <f>SUMIF('[1]Map_Meso-Ox'!$C:$C,A132,'[1]Map_Meso-Ox'!$E:$E)</f>
        <v>#VALUE!</v>
      </c>
      <c r="M132" s="2" t="e">
        <f t="shared" si="5"/>
        <v>#VALUE!</v>
      </c>
    </row>
    <row r="133" spans="1:13" x14ac:dyDescent="0.25">
      <c r="A133">
        <v>22</v>
      </c>
      <c r="B133">
        <v>-1</v>
      </c>
      <c r="C133">
        <v>38.704000000000001</v>
      </c>
      <c r="D133">
        <v>5.0000000000000001E-3</v>
      </c>
      <c r="E133" t="s">
        <v>6</v>
      </c>
      <c r="F133">
        <v>3</v>
      </c>
      <c r="G133">
        <f>COUNTIF(E:E,E133)</f>
        <v>110</v>
      </c>
      <c r="H133">
        <f>COUNTIFS(E:E,E133,A:A,A133,D:D,D133)</f>
        <v>1</v>
      </c>
      <c r="I133" t="e">
        <f>SUMIF([1]Mapeamento!$J:$J,A133,[1]Mapeamento!$L:$L)</f>
        <v>#VALUE!</v>
      </c>
      <c r="J133" s="1" t="e">
        <f>SUMIF('[1]Map_Meso-Ox'!$C:$C,A133,'[1]Map_Meso-Ox'!$D:$D)</f>
        <v>#VALUE!</v>
      </c>
      <c r="K133" s="2" t="e">
        <f t="shared" si="4"/>
        <v>#VALUE!</v>
      </c>
      <c r="L133" s="1" t="e">
        <f>SUMIF('[1]Map_Meso-Ox'!$C:$C,A133,'[1]Map_Meso-Ox'!$E:$E)</f>
        <v>#VALUE!</v>
      </c>
      <c r="M133" s="2" t="e">
        <f t="shared" si="5"/>
        <v>#VALUE!</v>
      </c>
    </row>
    <row r="134" spans="1:13" x14ac:dyDescent="0.25">
      <c r="A134">
        <v>23</v>
      </c>
      <c r="B134">
        <v>-1</v>
      </c>
      <c r="C134">
        <v>37.975000000000001</v>
      </c>
      <c r="D134">
        <v>4.02E-2</v>
      </c>
      <c r="E134" t="s">
        <v>6</v>
      </c>
      <c r="F134">
        <v>1</v>
      </c>
      <c r="G134">
        <f>COUNTIF(E:E,E134)</f>
        <v>110</v>
      </c>
      <c r="H134">
        <f>COUNTIFS(E:E,E134,A:A,A134,D:D,D134)</f>
        <v>1</v>
      </c>
      <c r="I134" t="e">
        <f>SUMIF([1]Mapeamento!$J:$J,A134,[1]Mapeamento!$L:$L)</f>
        <v>#VALUE!</v>
      </c>
      <c r="J134" s="1" t="e">
        <f>SUMIF('[1]Map_Meso-Ox'!$C:$C,A134,'[1]Map_Meso-Ox'!$D:$D)</f>
        <v>#VALUE!</v>
      </c>
      <c r="K134" s="2" t="e">
        <f t="shared" si="4"/>
        <v>#VALUE!</v>
      </c>
      <c r="L134" s="1" t="e">
        <f>SUMIF('[1]Map_Meso-Ox'!$C:$C,A134,'[1]Map_Meso-Ox'!$E:$E)</f>
        <v>#VALUE!</v>
      </c>
      <c r="M134" s="2" t="e">
        <f t="shared" si="5"/>
        <v>#VALUE!</v>
      </c>
    </row>
    <row r="135" spans="1:13" x14ac:dyDescent="0.25">
      <c r="A135">
        <v>24</v>
      </c>
      <c r="B135">
        <v>-1</v>
      </c>
      <c r="C135">
        <v>41.609000000000002</v>
      </c>
      <c r="D135">
        <v>5.0000000000000001E-3</v>
      </c>
      <c r="E135" t="s">
        <v>6</v>
      </c>
      <c r="F135">
        <v>1</v>
      </c>
      <c r="G135">
        <f>COUNTIF(E:E,E135)</f>
        <v>110</v>
      </c>
      <c r="H135">
        <f>COUNTIFS(E:E,E135,A:A,A135,D:D,D135)</f>
        <v>1</v>
      </c>
      <c r="I135" t="e">
        <f>SUMIF([1]Mapeamento!$J:$J,A135,[1]Mapeamento!$L:$L)</f>
        <v>#VALUE!</v>
      </c>
      <c r="J135" s="1" t="e">
        <f>SUMIF('[1]Map_Meso-Ox'!$C:$C,A135,'[1]Map_Meso-Ox'!$D:$D)</f>
        <v>#VALUE!</v>
      </c>
      <c r="K135" s="2" t="e">
        <f t="shared" si="4"/>
        <v>#VALUE!</v>
      </c>
      <c r="L135" s="1" t="e">
        <f>SUMIF('[1]Map_Meso-Ox'!$C:$C,A135,'[1]Map_Meso-Ox'!$E:$E)</f>
        <v>#VALUE!</v>
      </c>
      <c r="M135" s="2" t="e">
        <f t="shared" si="5"/>
        <v>#VALUE!</v>
      </c>
    </row>
    <row r="136" spans="1:13" x14ac:dyDescent="0.25">
      <c r="A136">
        <v>25</v>
      </c>
      <c r="B136">
        <v>-1</v>
      </c>
      <c r="C136">
        <v>25.434000000000001</v>
      </c>
      <c r="D136">
        <v>0.18090000000000001</v>
      </c>
      <c r="E136" t="s">
        <v>6</v>
      </c>
      <c r="F136">
        <v>1</v>
      </c>
      <c r="G136">
        <f>COUNTIF(E:E,E136)</f>
        <v>110</v>
      </c>
      <c r="H136">
        <f>COUNTIFS(E:E,E136,A:A,A136,D:D,D136)</f>
        <v>1</v>
      </c>
      <c r="I136" t="e">
        <f>SUMIF([1]Mapeamento!$J:$J,A136,[1]Mapeamento!$L:$L)</f>
        <v>#VALUE!</v>
      </c>
      <c r="J136" s="1" t="e">
        <f>SUMIF('[1]Map_Meso-Ox'!$C:$C,A136,'[1]Map_Meso-Ox'!$D:$D)</f>
        <v>#VALUE!</v>
      </c>
      <c r="K136" s="2" t="e">
        <f t="shared" si="4"/>
        <v>#VALUE!</v>
      </c>
      <c r="L136" s="1" t="e">
        <f>SUMIF('[1]Map_Meso-Ox'!$C:$C,A136,'[1]Map_Meso-Ox'!$E:$E)</f>
        <v>#VALUE!</v>
      </c>
      <c r="M136" s="2" t="e">
        <f t="shared" si="5"/>
        <v>#VALUE!</v>
      </c>
    </row>
    <row r="137" spans="1:13" x14ac:dyDescent="0.25">
      <c r="A137">
        <v>26</v>
      </c>
      <c r="B137">
        <v>-1</v>
      </c>
      <c r="C137">
        <v>35.706000000000003</v>
      </c>
      <c r="D137">
        <v>4.02E-2</v>
      </c>
      <c r="E137" t="s">
        <v>6</v>
      </c>
      <c r="F137">
        <v>2</v>
      </c>
      <c r="G137">
        <f>COUNTIF(E:E,E137)</f>
        <v>110</v>
      </c>
      <c r="H137">
        <f>COUNTIFS(E:E,E137,A:A,A137,D:D,D137)</f>
        <v>1</v>
      </c>
      <c r="I137" t="e">
        <f>SUMIF([1]Mapeamento!$J:$J,A137,[1]Mapeamento!$L:$L)</f>
        <v>#VALUE!</v>
      </c>
      <c r="J137" s="1" t="e">
        <f>SUMIF('[1]Map_Meso-Ox'!$C:$C,A137,'[1]Map_Meso-Ox'!$D:$D)</f>
        <v>#VALUE!</v>
      </c>
      <c r="K137" s="2" t="e">
        <f t="shared" si="4"/>
        <v>#VALUE!</v>
      </c>
      <c r="L137" s="1" t="e">
        <f>SUMIF('[1]Map_Meso-Ox'!$C:$C,A137,'[1]Map_Meso-Ox'!$E:$E)</f>
        <v>#VALUE!</v>
      </c>
      <c r="M137" s="2" t="e">
        <f t="shared" si="5"/>
        <v>#VALUE!</v>
      </c>
    </row>
    <row r="138" spans="1:13" x14ac:dyDescent="0.25">
      <c r="A138">
        <v>27</v>
      </c>
      <c r="B138">
        <v>-1</v>
      </c>
      <c r="C138">
        <v>22.071999999999999</v>
      </c>
      <c r="D138">
        <v>0.31659999999999999</v>
      </c>
      <c r="E138" t="s">
        <v>6</v>
      </c>
      <c r="F138">
        <v>0</v>
      </c>
      <c r="G138">
        <f>COUNTIF(E:E,E138)</f>
        <v>110</v>
      </c>
      <c r="H138">
        <f>COUNTIFS(E:E,E138,A:A,A138,D:D,D138)</f>
        <v>1</v>
      </c>
      <c r="I138" t="e">
        <f>SUMIF([1]Mapeamento!$J:$J,A138,[1]Mapeamento!$L:$L)</f>
        <v>#VALUE!</v>
      </c>
      <c r="J138" s="1" t="e">
        <f>SUMIF('[1]Map_Meso-Ox'!$C:$C,A138,'[1]Map_Meso-Ox'!$D:$D)</f>
        <v>#VALUE!</v>
      </c>
      <c r="K138" s="2" t="e">
        <f t="shared" si="4"/>
        <v>#VALUE!</v>
      </c>
      <c r="L138" s="1" t="e">
        <f>SUMIF('[1]Map_Meso-Ox'!$C:$C,A138,'[1]Map_Meso-Ox'!$E:$E)</f>
        <v>#VALUE!</v>
      </c>
      <c r="M138" s="2" t="e">
        <f t="shared" si="5"/>
        <v>#VALUE!</v>
      </c>
    </row>
    <row r="139" spans="1:13" x14ac:dyDescent="0.25">
      <c r="A139">
        <v>28</v>
      </c>
      <c r="B139">
        <v>-1</v>
      </c>
      <c r="C139">
        <v>60.851999999999997</v>
      </c>
      <c r="D139">
        <v>5.0000000000000001E-3</v>
      </c>
      <c r="E139" t="s">
        <v>6</v>
      </c>
      <c r="F139">
        <v>2</v>
      </c>
      <c r="G139">
        <f>COUNTIF(E:E,E139)</f>
        <v>110</v>
      </c>
      <c r="H139">
        <f>COUNTIFS(E:E,E139,A:A,A139,D:D,D139)</f>
        <v>1</v>
      </c>
      <c r="I139" t="e">
        <f>SUMIF([1]Mapeamento!$J:$J,A139,[1]Mapeamento!$L:$L)</f>
        <v>#VALUE!</v>
      </c>
      <c r="J139" s="1" t="e">
        <f>SUMIF('[1]Map_Meso-Ox'!$C:$C,A139,'[1]Map_Meso-Ox'!$D:$D)</f>
        <v>#VALUE!</v>
      </c>
      <c r="K139" s="2" t="e">
        <f t="shared" si="4"/>
        <v>#VALUE!</v>
      </c>
      <c r="L139" s="1" t="e">
        <f>SUMIF('[1]Map_Meso-Ox'!$C:$C,A139,'[1]Map_Meso-Ox'!$E:$E)</f>
        <v>#VALUE!</v>
      </c>
      <c r="M139" s="2" t="e">
        <f t="shared" si="5"/>
        <v>#VALUE!</v>
      </c>
    </row>
    <row r="140" spans="1:13" x14ac:dyDescent="0.25">
      <c r="A140">
        <v>29</v>
      </c>
      <c r="B140">
        <v>-1</v>
      </c>
      <c r="C140">
        <v>34.33</v>
      </c>
      <c r="D140">
        <v>5.0299999999999997E-2</v>
      </c>
      <c r="E140" t="s">
        <v>6</v>
      </c>
      <c r="F140">
        <v>1</v>
      </c>
      <c r="G140">
        <f>COUNTIF(E:E,E140)</f>
        <v>110</v>
      </c>
      <c r="H140">
        <f>COUNTIFS(E:E,E140,A:A,A140,D:D,D140)</f>
        <v>1</v>
      </c>
      <c r="I140" t="e">
        <f>SUMIF([1]Mapeamento!$J:$J,A140,[1]Mapeamento!$L:$L)</f>
        <v>#VALUE!</v>
      </c>
      <c r="J140" s="1" t="e">
        <f>SUMIF('[1]Map_Meso-Ox'!$C:$C,A140,'[1]Map_Meso-Ox'!$D:$D)</f>
        <v>#VALUE!</v>
      </c>
      <c r="K140" s="2" t="e">
        <f t="shared" si="4"/>
        <v>#VALUE!</v>
      </c>
      <c r="L140" s="1" t="e">
        <f>SUMIF('[1]Map_Meso-Ox'!$C:$C,A140,'[1]Map_Meso-Ox'!$E:$E)</f>
        <v>#VALUE!</v>
      </c>
      <c r="M140" s="2" t="e">
        <f t="shared" si="5"/>
        <v>#VALUE!</v>
      </c>
    </row>
    <row r="141" spans="1:13" x14ac:dyDescent="0.25">
      <c r="A141">
        <v>30</v>
      </c>
      <c r="B141">
        <v>-1</v>
      </c>
      <c r="C141">
        <v>30.231999999999999</v>
      </c>
      <c r="D141">
        <v>9.0499999999999997E-2</v>
      </c>
      <c r="E141" t="s">
        <v>6</v>
      </c>
      <c r="F141">
        <v>1</v>
      </c>
      <c r="G141">
        <f>COUNTIF(E:E,E141)</f>
        <v>110</v>
      </c>
      <c r="H141">
        <f>COUNTIFS(E:E,E141,A:A,A141,D:D,D141)</f>
        <v>1</v>
      </c>
      <c r="I141" t="e">
        <f>SUMIF([1]Mapeamento!$J:$J,A141,[1]Mapeamento!$L:$L)</f>
        <v>#VALUE!</v>
      </c>
      <c r="J141" s="1" t="e">
        <f>SUMIF('[1]Map_Meso-Ox'!$C:$C,A141,'[1]Map_Meso-Ox'!$D:$D)</f>
        <v>#VALUE!</v>
      </c>
      <c r="K141" s="2" t="e">
        <f t="shared" si="4"/>
        <v>#VALUE!</v>
      </c>
      <c r="L141" s="1" t="e">
        <f>SUMIF('[1]Map_Meso-Ox'!$C:$C,A141,'[1]Map_Meso-Ox'!$E:$E)</f>
        <v>#VALUE!</v>
      </c>
      <c r="M141" s="2" t="e">
        <f t="shared" si="5"/>
        <v>#VALUE!</v>
      </c>
    </row>
    <row r="142" spans="1:13" x14ac:dyDescent="0.25">
      <c r="A142">
        <v>31</v>
      </c>
      <c r="B142">
        <v>-1</v>
      </c>
      <c r="C142">
        <v>69.849999999999994</v>
      </c>
      <c r="D142">
        <v>0</v>
      </c>
      <c r="E142" t="s">
        <v>6</v>
      </c>
      <c r="F142">
        <v>1</v>
      </c>
      <c r="G142">
        <f>COUNTIF(E:E,E142)</f>
        <v>110</v>
      </c>
      <c r="H142">
        <f>COUNTIFS(E:E,E142,A:A,A142,D:D,D142)</f>
        <v>1</v>
      </c>
      <c r="I142" t="e">
        <f>SUMIF([1]Mapeamento!$J:$J,A142,[1]Mapeamento!$L:$L)</f>
        <v>#VALUE!</v>
      </c>
      <c r="J142" s="1" t="e">
        <f>SUMIF('[1]Map_Meso-Ox'!$C:$C,A142,'[1]Map_Meso-Ox'!$D:$D)</f>
        <v>#VALUE!</v>
      </c>
      <c r="K142" s="2" t="e">
        <f t="shared" si="4"/>
        <v>#VALUE!</v>
      </c>
      <c r="L142" s="1" t="e">
        <f>SUMIF('[1]Map_Meso-Ox'!$C:$C,A142,'[1]Map_Meso-Ox'!$E:$E)</f>
        <v>#VALUE!</v>
      </c>
      <c r="M142" s="2" t="e">
        <f t="shared" si="5"/>
        <v>#VALUE!</v>
      </c>
    </row>
    <row r="143" spans="1:13" x14ac:dyDescent="0.25">
      <c r="A143">
        <v>32</v>
      </c>
      <c r="B143">
        <v>-1</v>
      </c>
      <c r="C143">
        <v>32.887</v>
      </c>
      <c r="D143">
        <v>8.5400000000000004E-2</v>
      </c>
      <c r="E143" t="s">
        <v>6</v>
      </c>
      <c r="F143">
        <v>1</v>
      </c>
      <c r="G143">
        <f>COUNTIF(E:E,E143)</f>
        <v>110</v>
      </c>
      <c r="H143">
        <f>COUNTIFS(E:E,E143,A:A,A143,D:D,D143)</f>
        <v>1</v>
      </c>
      <c r="I143" t="e">
        <f>SUMIF([1]Mapeamento!$J:$J,A143,[1]Mapeamento!$L:$L)</f>
        <v>#VALUE!</v>
      </c>
      <c r="J143" s="1" t="e">
        <f>SUMIF('[1]Map_Meso-Ox'!$C:$C,A143,'[1]Map_Meso-Ox'!$D:$D)</f>
        <v>#VALUE!</v>
      </c>
      <c r="K143" s="2" t="e">
        <f t="shared" si="4"/>
        <v>#VALUE!</v>
      </c>
      <c r="L143" s="1" t="e">
        <f>SUMIF('[1]Map_Meso-Ox'!$C:$C,A143,'[1]Map_Meso-Ox'!$E:$E)</f>
        <v>#VALUE!</v>
      </c>
      <c r="M143" s="2" t="e">
        <f t="shared" si="5"/>
        <v>#VALUE!</v>
      </c>
    </row>
    <row r="144" spans="1:13" x14ac:dyDescent="0.25">
      <c r="A144">
        <v>33</v>
      </c>
      <c r="B144">
        <v>-1</v>
      </c>
      <c r="C144">
        <v>30.515999999999998</v>
      </c>
      <c r="D144">
        <v>7.5399999999999995E-2</v>
      </c>
      <c r="E144" t="s">
        <v>6</v>
      </c>
      <c r="F144">
        <v>0</v>
      </c>
      <c r="G144">
        <f>COUNTIF(E:E,E144)</f>
        <v>110</v>
      </c>
      <c r="H144">
        <f>COUNTIFS(E:E,E144,A:A,A144,D:D,D144)</f>
        <v>1</v>
      </c>
      <c r="I144" t="e">
        <f>SUMIF([1]Mapeamento!$J:$J,A144,[1]Mapeamento!$L:$L)</f>
        <v>#VALUE!</v>
      </c>
      <c r="J144" s="1" t="e">
        <f>SUMIF('[1]Map_Meso-Ox'!$C:$C,A144,'[1]Map_Meso-Ox'!$D:$D)</f>
        <v>#VALUE!</v>
      </c>
      <c r="K144" s="2" t="e">
        <f t="shared" si="4"/>
        <v>#VALUE!</v>
      </c>
      <c r="L144" s="1" t="e">
        <f>SUMIF('[1]Map_Meso-Ox'!$C:$C,A144,'[1]Map_Meso-Ox'!$E:$E)</f>
        <v>#VALUE!</v>
      </c>
      <c r="M144" s="2" t="e">
        <f t="shared" si="5"/>
        <v>#VALUE!</v>
      </c>
    </row>
    <row r="145" spans="1:13" x14ac:dyDescent="0.25">
      <c r="A145">
        <v>34</v>
      </c>
      <c r="B145">
        <v>-1</v>
      </c>
      <c r="C145">
        <v>45.304000000000002</v>
      </c>
      <c r="D145">
        <v>1.01E-2</v>
      </c>
      <c r="E145" t="s">
        <v>6</v>
      </c>
      <c r="F145">
        <v>2</v>
      </c>
      <c r="G145">
        <f>COUNTIF(E:E,E145)</f>
        <v>110</v>
      </c>
      <c r="H145">
        <f>COUNTIFS(E:E,E145,A:A,A145,D:D,D145)</f>
        <v>1</v>
      </c>
      <c r="I145" t="e">
        <f>SUMIF([1]Mapeamento!$J:$J,A145,[1]Mapeamento!$L:$L)</f>
        <v>#VALUE!</v>
      </c>
      <c r="J145" s="1" t="e">
        <f>SUMIF('[1]Map_Meso-Ox'!$C:$C,A145,'[1]Map_Meso-Ox'!$D:$D)</f>
        <v>#VALUE!</v>
      </c>
      <c r="K145" s="2" t="e">
        <f t="shared" si="4"/>
        <v>#VALUE!</v>
      </c>
      <c r="L145" s="1" t="e">
        <f>SUMIF('[1]Map_Meso-Ox'!$C:$C,A145,'[1]Map_Meso-Ox'!$E:$E)</f>
        <v>#VALUE!</v>
      </c>
      <c r="M145" s="2" t="e">
        <f t="shared" si="5"/>
        <v>#VALUE!</v>
      </c>
    </row>
    <row r="146" spans="1:13" x14ac:dyDescent="0.25">
      <c r="A146">
        <v>35</v>
      </c>
      <c r="B146">
        <v>-1</v>
      </c>
      <c r="C146">
        <v>33.765000000000001</v>
      </c>
      <c r="D146">
        <v>0.13569999999999999</v>
      </c>
      <c r="E146" t="s">
        <v>6</v>
      </c>
      <c r="F146">
        <v>0</v>
      </c>
      <c r="G146">
        <f>COUNTIF(E:E,E146)</f>
        <v>110</v>
      </c>
      <c r="H146">
        <f>COUNTIFS(E:E,E146,A:A,A146,D:D,D146)</f>
        <v>1</v>
      </c>
      <c r="I146" t="e">
        <f>SUMIF([1]Mapeamento!$J:$J,A146,[1]Mapeamento!$L:$L)</f>
        <v>#VALUE!</v>
      </c>
      <c r="J146" s="1" t="e">
        <f>SUMIF('[1]Map_Meso-Ox'!$C:$C,A146,'[1]Map_Meso-Ox'!$D:$D)</f>
        <v>#VALUE!</v>
      </c>
      <c r="K146" s="2" t="e">
        <f t="shared" si="4"/>
        <v>#VALUE!</v>
      </c>
      <c r="L146" s="1" t="e">
        <f>SUMIF('[1]Map_Meso-Ox'!$C:$C,A146,'[1]Map_Meso-Ox'!$E:$E)</f>
        <v>#VALUE!</v>
      </c>
      <c r="M146" s="2" t="e">
        <f t="shared" si="5"/>
        <v>#VALUE!</v>
      </c>
    </row>
    <row r="147" spans="1:13" x14ac:dyDescent="0.25">
      <c r="A147">
        <v>36</v>
      </c>
      <c r="B147">
        <v>-1</v>
      </c>
      <c r="C147">
        <v>40.341999999999999</v>
      </c>
      <c r="D147">
        <v>1.5100000000000001E-2</v>
      </c>
      <c r="E147" t="s">
        <v>6</v>
      </c>
      <c r="F147">
        <v>2</v>
      </c>
      <c r="G147">
        <f>COUNTIF(E:E,E147)</f>
        <v>110</v>
      </c>
      <c r="H147">
        <f>COUNTIFS(E:E,E147,A:A,A147,D:D,D147)</f>
        <v>1</v>
      </c>
      <c r="I147" t="e">
        <f>SUMIF([1]Mapeamento!$J:$J,A147,[1]Mapeamento!$L:$L)</f>
        <v>#VALUE!</v>
      </c>
      <c r="J147" s="1" t="e">
        <f>SUMIF('[1]Map_Meso-Ox'!$C:$C,A147,'[1]Map_Meso-Ox'!$D:$D)</f>
        <v>#VALUE!</v>
      </c>
      <c r="K147" s="2" t="e">
        <f t="shared" si="4"/>
        <v>#VALUE!</v>
      </c>
      <c r="L147" s="1" t="e">
        <f>SUMIF('[1]Map_Meso-Ox'!$C:$C,A147,'[1]Map_Meso-Ox'!$E:$E)</f>
        <v>#VALUE!</v>
      </c>
      <c r="M147" s="2" t="e">
        <f t="shared" si="5"/>
        <v>#VALUE!</v>
      </c>
    </row>
    <row r="148" spans="1:13" x14ac:dyDescent="0.25">
      <c r="A148">
        <v>37</v>
      </c>
      <c r="B148">
        <v>-1</v>
      </c>
      <c r="C148">
        <v>38.082000000000001</v>
      </c>
      <c r="D148">
        <v>3.5200000000000002E-2</v>
      </c>
      <c r="E148" t="s">
        <v>6</v>
      </c>
      <c r="F148">
        <v>1</v>
      </c>
      <c r="G148">
        <f>COUNTIF(E:E,E148)</f>
        <v>110</v>
      </c>
      <c r="H148">
        <f>COUNTIFS(E:E,E148,A:A,A148,D:D,D148)</f>
        <v>1</v>
      </c>
      <c r="I148" t="e">
        <f>SUMIF([1]Mapeamento!$J:$J,A148,[1]Mapeamento!$L:$L)</f>
        <v>#VALUE!</v>
      </c>
      <c r="J148" s="1" t="e">
        <f>SUMIF('[1]Map_Meso-Ox'!$C:$C,A148,'[1]Map_Meso-Ox'!$D:$D)</f>
        <v>#VALUE!</v>
      </c>
      <c r="K148" s="2" t="e">
        <f t="shared" si="4"/>
        <v>#VALUE!</v>
      </c>
      <c r="L148" s="1" t="e">
        <f>SUMIF('[1]Map_Meso-Ox'!$C:$C,A148,'[1]Map_Meso-Ox'!$E:$E)</f>
        <v>#VALUE!</v>
      </c>
      <c r="M148" s="2" t="e">
        <f t="shared" si="5"/>
        <v>#VALUE!</v>
      </c>
    </row>
    <row r="149" spans="1:13" x14ac:dyDescent="0.25">
      <c r="A149">
        <v>38</v>
      </c>
      <c r="B149">
        <v>-1</v>
      </c>
      <c r="C149">
        <v>21.5</v>
      </c>
      <c r="D149">
        <v>0.42209999999999998</v>
      </c>
      <c r="E149" t="s">
        <v>6</v>
      </c>
      <c r="F149">
        <v>0</v>
      </c>
      <c r="G149">
        <f>COUNTIF(E:E,E149)</f>
        <v>110</v>
      </c>
      <c r="H149">
        <f>COUNTIFS(E:E,E149,A:A,A149,D:D,D149)</f>
        <v>1</v>
      </c>
      <c r="I149" t="e">
        <f>SUMIF([1]Mapeamento!$J:$J,A149,[1]Mapeamento!$L:$L)</f>
        <v>#VALUE!</v>
      </c>
      <c r="J149" s="1" t="e">
        <f>SUMIF('[1]Map_Meso-Ox'!$C:$C,A149,'[1]Map_Meso-Ox'!$D:$D)</f>
        <v>#VALUE!</v>
      </c>
      <c r="K149" s="2" t="e">
        <f t="shared" si="4"/>
        <v>#VALUE!</v>
      </c>
      <c r="L149" s="1" t="e">
        <f>SUMIF('[1]Map_Meso-Ox'!$C:$C,A149,'[1]Map_Meso-Ox'!$E:$E)</f>
        <v>#VALUE!</v>
      </c>
      <c r="M149" s="2" t="e">
        <f t="shared" si="5"/>
        <v>#VALUE!</v>
      </c>
    </row>
    <row r="150" spans="1:13" x14ac:dyDescent="0.25">
      <c r="A150">
        <v>39</v>
      </c>
      <c r="B150">
        <v>-1</v>
      </c>
      <c r="C150">
        <v>35.238</v>
      </c>
      <c r="D150">
        <v>2.5100000000000001E-2</v>
      </c>
      <c r="E150" t="s">
        <v>6</v>
      </c>
      <c r="F150">
        <v>1</v>
      </c>
      <c r="G150">
        <f>COUNTIF(E:E,E150)</f>
        <v>110</v>
      </c>
      <c r="H150">
        <f>COUNTIFS(E:E,E150,A:A,A150,D:D,D150)</f>
        <v>1</v>
      </c>
      <c r="I150" t="e">
        <f>SUMIF([1]Mapeamento!$J:$J,A150,[1]Mapeamento!$L:$L)</f>
        <v>#VALUE!</v>
      </c>
      <c r="J150" s="1" t="e">
        <f>SUMIF('[1]Map_Meso-Ox'!$C:$C,A150,'[1]Map_Meso-Ox'!$D:$D)</f>
        <v>#VALUE!</v>
      </c>
      <c r="K150" s="2" t="e">
        <f t="shared" si="4"/>
        <v>#VALUE!</v>
      </c>
      <c r="L150" s="1" t="e">
        <f>SUMIF('[1]Map_Meso-Ox'!$C:$C,A150,'[1]Map_Meso-Ox'!$E:$E)</f>
        <v>#VALUE!</v>
      </c>
      <c r="M150" s="2" t="e">
        <f t="shared" si="5"/>
        <v>#VALUE!</v>
      </c>
    </row>
    <row r="151" spans="1:13" x14ac:dyDescent="0.25">
      <c r="A151">
        <v>40</v>
      </c>
      <c r="B151">
        <v>-1</v>
      </c>
      <c r="C151">
        <v>34.874000000000002</v>
      </c>
      <c r="D151">
        <v>3.0200000000000001E-2</v>
      </c>
      <c r="E151" t="s">
        <v>6</v>
      </c>
      <c r="F151">
        <v>1</v>
      </c>
      <c r="G151">
        <f>COUNTIF(E:E,E151)</f>
        <v>110</v>
      </c>
      <c r="H151">
        <f>COUNTIFS(E:E,E151,A:A,A151,D:D,D151)</f>
        <v>1</v>
      </c>
      <c r="I151" t="e">
        <f>SUMIF([1]Mapeamento!$J:$J,A151,[1]Mapeamento!$L:$L)</f>
        <v>#VALUE!</v>
      </c>
      <c r="J151" s="1" t="e">
        <f>SUMIF('[1]Map_Meso-Ox'!$C:$C,A151,'[1]Map_Meso-Ox'!$D:$D)</f>
        <v>#VALUE!</v>
      </c>
      <c r="K151" s="2" t="e">
        <f t="shared" si="4"/>
        <v>#VALUE!</v>
      </c>
      <c r="L151" s="1" t="e">
        <f>SUMIF('[1]Map_Meso-Ox'!$C:$C,A151,'[1]Map_Meso-Ox'!$E:$E)</f>
        <v>#VALUE!</v>
      </c>
      <c r="M151" s="2" t="e">
        <f t="shared" si="5"/>
        <v>#VALUE!</v>
      </c>
    </row>
    <row r="152" spans="1:13" x14ac:dyDescent="0.25">
      <c r="A152">
        <v>41</v>
      </c>
      <c r="B152">
        <v>-1</v>
      </c>
      <c r="C152">
        <v>43.387</v>
      </c>
      <c r="D152">
        <v>5.0000000000000001E-3</v>
      </c>
      <c r="E152" t="s">
        <v>6</v>
      </c>
      <c r="F152">
        <v>1</v>
      </c>
      <c r="G152">
        <f>COUNTIF(E:E,E152)</f>
        <v>110</v>
      </c>
      <c r="H152">
        <f>COUNTIFS(E:E,E152,A:A,A152,D:D,D152)</f>
        <v>1</v>
      </c>
      <c r="I152" t="e">
        <f>SUMIF([1]Mapeamento!$J:$J,A152,[1]Mapeamento!$L:$L)</f>
        <v>#VALUE!</v>
      </c>
      <c r="J152" s="1" t="e">
        <f>SUMIF('[1]Map_Meso-Ox'!$C:$C,A152,'[1]Map_Meso-Ox'!$D:$D)</f>
        <v>#VALUE!</v>
      </c>
      <c r="K152" s="2" t="e">
        <f t="shared" si="4"/>
        <v>#VALUE!</v>
      </c>
      <c r="L152" s="1" t="e">
        <f>SUMIF('[1]Map_Meso-Ox'!$C:$C,A152,'[1]Map_Meso-Ox'!$E:$E)</f>
        <v>#VALUE!</v>
      </c>
      <c r="M152" s="2" t="e">
        <f t="shared" si="5"/>
        <v>#VALUE!</v>
      </c>
    </row>
    <row r="153" spans="1:13" x14ac:dyDescent="0.25">
      <c r="A153">
        <v>42</v>
      </c>
      <c r="B153">
        <v>-1</v>
      </c>
      <c r="C153">
        <v>29.146000000000001</v>
      </c>
      <c r="D153">
        <v>0.18590000000000001</v>
      </c>
      <c r="E153" t="s">
        <v>6</v>
      </c>
      <c r="F153">
        <v>0</v>
      </c>
      <c r="G153">
        <f>COUNTIF(E:E,E153)</f>
        <v>110</v>
      </c>
      <c r="H153">
        <f>COUNTIFS(E:E,E153,A:A,A153,D:D,D153)</f>
        <v>1</v>
      </c>
      <c r="I153" t="e">
        <f>SUMIF([1]Mapeamento!$J:$J,A153,[1]Mapeamento!$L:$L)</f>
        <v>#VALUE!</v>
      </c>
      <c r="J153" s="1" t="e">
        <f>SUMIF('[1]Map_Meso-Ox'!$C:$C,A153,'[1]Map_Meso-Ox'!$D:$D)</f>
        <v>#VALUE!</v>
      </c>
      <c r="K153" s="2" t="e">
        <f t="shared" si="4"/>
        <v>#VALUE!</v>
      </c>
      <c r="L153" s="1" t="e">
        <f>SUMIF('[1]Map_Meso-Ox'!$C:$C,A153,'[1]Map_Meso-Ox'!$E:$E)</f>
        <v>#VALUE!</v>
      </c>
      <c r="M153" s="2" t="e">
        <f t="shared" si="5"/>
        <v>#VALUE!</v>
      </c>
    </row>
    <row r="154" spans="1:13" x14ac:dyDescent="0.25">
      <c r="A154">
        <v>43</v>
      </c>
      <c r="B154">
        <v>-1</v>
      </c>
      <c r="C154">
        <v>15.677</v>
      </c>
      <c r="D154">
        <v>0.6734</v>
      </c>
      <c r="E154" t="s">
        <v>6</v>
      </c>
      <c r="F154">
        <v>0</v>
      </c>
      <c r="G154">
        <f>COUNTIF(E:E,E154)</f>
        <v>110</v>
      </c>
      <c r="H154">
        <f>COUNTIFS(E:E,E154,A:A,A154,D:D,D154)</f>
        <v>1</v>
      </c>
      <c r="I154" t="e">
        <f>SUMIF([1]Mapeamento!$J:$J,A154,[1]Mapeamento!$L:$L)</f>
        <v>#VALUE!</v>
      </c>
      <c r="J154" s="1" t="e">
        <f>SUMIF('[1]Map_Meso-Ox'!$C:$C,A154,'[1]Map_Meso-Ox'!$D:$D)</f>
        <v>#VALUE!</v>
      </c>
      <c r="K154" s="2" t="e">
        <f t="shared" si="4"/>
        <v>#VALUE!</v>
      </c>
      <c r="L154" s="1" t="e">
        <f>SUMIF('[1]Map_Meso-Ox'!$C:$C,A154,'[1]Map_Meso-Ox'!$E:$E)</f>
        <v>#VALUE!</v>
      </c>
      <c r="M154" s="2" t="e">
        <f t="shared" si="5"/>
        <v>#VALUE!</v>
      </c>
    </row>
    <row r="155" spans="1:13" x14ac:dyDescent="0.25">
      <c r="A155">
        <v>44</v>
      </c>
      <c r="B155">
        <v>-1</v>
      </c>
      <c r="C155">
        <v>39.615000000000002</v>
      </c>
      <c r="D155">
        <v>5.5300000000000002E-2</v>
      </c>
      <c r="E155" t="s">
        <v>6</v>
      </c>
      <c r="F155">
        <v>0</v>
      </c>
      <c r="G155">
        <f>COUNTIF(E:E,E155)</f>
        <v>110</v>
      </c>
      <c r="H155">
        <f>COUNTIFS(E:E,E155,A:A,A155,D:D,D155)</f>
        <v>1</v>
      </c>
      <c r="I155" t="e">
        <f>SUMIF([1]Mapeamento!$J:$J,A155,[1]Mapeamento!$L:$L)</f>
        <v>#VALUE!</v>
      </c>
      <c r="J155" s="1" t="e">
        <f>SUMIF('[1]Map_Meso-Ox'!$C:$C,A155,'[1]Map_Meso-Ox'!$D:$D)</f>
        <v>#VALUE!</v>
      </c>
      <c r="K155" s="2" t="e">
        <f t="shared" si="4"/>
        <v>#VALUE!</v>
      </c>
      <c r="L155" s="1" t="e">
        <f>SUMIF('[1]Map_Meso-Ox'!$C:$C,A155,'[1]Map_Meso-Ox'!$E:$E)</f>
        <v>#VALUE!</v>
      </c>
      <c r="M155" s="2" t="e">
        <f t="shared" si="5"/>
        <v>#VALUE!</v>
      </c>
    </row>
    <row r="156" spans="1:13" x14ac:dyDescent="0.25">
      <c r="A156">
        <v>45</v>
      </c>
      <c r="B156">
        <v>-1</v>
      </c>
      <c r="C156">
        <v>47.267000000000003</v>
      </c>
      <c r="D156">
        <v>0</v>
      </c>
      <c r="E156" t="s">
        <v>6</v>
      </c>
      <c r="F156">
        <v>2</v>
      </c>
      <c r="G156">
        <f>COUNTIF(E:E,E156)</f>
        <v>110</v>
      </c>
      <c r="H156">
        <f>COUNTIFS(E:E,E156,A:A,A156,D:D,D156)</f>
        <v>1</v>
      </c>
      <c r="I156" t="e">
        <f>SUMIF([1]Mapeamento!$J:$J,A156,[1]Mapeamento!$L:$L)</f>
        <v>#VALUE!</v>
      </c>
      <c r="J156" s="1" t="e">
        <f>SUMIF('[1]Map_Meso-Ox'!$C:$C,A156,'[1]Map_Meso-Ox'!$D:$D)</f>
        <v>#VALUE!</v>
      </c>
      <c r="K156" s="2" t="e">
        <f t="shared" si="4"/>
        <v>#VALUE!</v>
      </c>
      <c r="L156" s="1" t="e">
        <f>SUMIF('[1]Map_Meso-Ox'!$C:$C,A156,'[1]Map_Meso-Ox'!$E:$E)</f>
        <v>#VALUE!</v>
      </c>
      <c r="M156" s="2" t="e">
        <f t="shared" si="5"/>
        <v>#VALUE!</v>
      </c>
    </row>
    <row r="157" spans="1:13" x14ac:dyDescent="0.25">
      <c r="A157">
        <v>46</v>
      </c>
      <c r="B157">
        <v>-1</v>
      </c>
      <c r="C157">
        <v>47.56</v>
      </c>
      <c r="D157">
        <v>3.5200000000000002E-2</v>
      </c>
      <c r="E157" t="s">
        <v>6</v>
      </c>
      <c r="F157">
        <v>0</v>
      </c>
      <c r="G157">
        <f>COUNTIF(E:E,E157)</f>
        <v>110</v>
      </c>
      <c r="H157">
        <f>COUNTIFS(E:E,E157,A:A,A157,D:D,D157)</f>
        <v>1</v>
      </c>
      <c r="I157" t="e">
        <f>SUMIF([1]Mapeamento!$J:$J,A157,[1]Mapeamento!$L:$L)</f>
        <v>#VALUE!</v>
      </c>
      <c r="J157" s="1" t="e">
        <f>SUMIF('[1]Map_Meso-Ox'!$C:$C,A157,'[1]Map_Meso-Ox'!$D:$D)</f>
        <v>#VALUE!</v>
      </c>
      <c r="K157" s="2" t="e">
        <f t="shared" si="4"/>
        <v>#VALUE!</v>
      </c>
      <c r="L157" s="1" t="e">
        <f>SUMIF('[1]Map_Meso-Ox'!$C:$C,A157,'[1]Map_Meso-Ox'!$E:$E)</f>
        <v>#VALUE!</v>
      </c>
      <c r="M157" s="2" t="e">
        <f t="shared" si="5"/>
        <v>#VALUE!</v>
      </c>
    </row>
    <row r="158" spans="1:13" x14ac:dyDescent="0.25">
      <c r="A158">
        <v>47</v>
      </c>
      <c r="B158">
        <v>-1</v>
      </c>
      <c r="C158">
        <v>37.442</v>
      </c>
      <c r="D158">
        <v>7.5399999999999995E-2</v>
      </c>
      <c r="E158" t="s">
        <v>6</v>
      </c>
      <c r="F158">
        <v>0</v>
      </c>
      <c r="G158">
        <f>COUNTIF(E:E,E158)</f>
        <v>110</v>
      </c>
      <c r="H158">
        <f>COUNTIFS(E:E,E158,A:A,A158,D:D,D158)</f>
        <v>1</v>
      </c>
      <c r="I158" t="e">
        <f>SUMIF([1]Mapeamento!$J:$J,A158,[1]Mapeamento!$L:$L)</f>
        <v>#VALUE!</v>
      </c>
      <c r="J158" s="1" t="e">
        <f>SUMIF('[1]Map_Meso-Ox'!$C:$C,A158,'[1]Map_Meso-Ox'!$D:$D)</f>
        <v>#VALUE!</v>
      </c>
      <c r="K158" s="2" t="e">
        <f t="shared" si="4"/>
        <v>#VALUE!</v>
      </c>
      <c r="L158" s="1" t="e">
        <f>SUMIF('[1]Map_Meso-Ox'!$C:$C,A158,'[1]Map_Meso-Ox'!$E:$E)</f>
        <v>#VALUE!</v>
      </c>
      <c r="M158" s="2" t="e">
        <f t="shared" si="5"/>
        <v>#VALUE!</v>
      </c>
    </row>
    <row r="159" spans="1:13" x14ac:dyDescent="0.25">
      <c r="A159">
        <v>48</v>
      </c>
      <c r="B159">
        <v>-1</v>
      </c>
      <c r="C159">
        <v>31.007999999999999</v>
      </c>
      <c r="D159">
        <v>0.1608</v>
      </c>
      <c r="E159" t="s">
        <v>6</v>
      </c>
      <c r="F159">
        <v>0</v>
      </c>
      <c r="G159">
        <f>COUNTIF(E:E,E159)</f>
        <v>110</v>
      </c>
      <c r="H159">
        <f>COUNTIFS(E:E,E159,A:A,A159,D:D,D159)</f>
        <v>1</v>
      </c>
      <c r="I159" t="e">
        <f>SUMIF([1]Mapeamento!$J:$J,A159,[1]Mapeamento!$L:$L)</f>
        <v>#VALUE!</v>
      </c>
      <c r="J159" s="1" t="e">
        <f>SUMIF('[1]Map_Meso-Ox'!$C:$C,A159,'[1]Map_Meso-Ox'!$D:$D)</f>
        <v>#VALUE!</v>
      </c>
      <c r="K159" s="2" t="e">
        <f t="shared" si="4"/>
        <v>#VALUE!</v>
      </c>
      <c r="L159" s="1" t="e">
        <f>SUMIF('[1]Map_Meso-Ox'!$C:$C,A159,'[1]Map_Meso-Ox'!$E:$E)</f>
        <v>#VALUE!</v>
      </c>
      <c r="M159" s="2" t="e">
        <f t="shared" si="5"/>
        <v>#VALUE!</v>
      </c>
    </row>
    <row r="160" spans="1:13" x14ac:dyDescent="0.25">
      <c r="A160">
        <v>49</v>
      </c>
      <c r="B160">
        <v>-1</v>
      </c>
      <c r="C160">
        <v>24.925999999999998</v>
      </c>
      <c r="D160">
        <v>0.41210000000000002</v>
      </c>
      <c r="E160" t="s">
        <v>6</v>
      </c>
      <c r="F160">
        <v>0</v>
      </c>
      <c r="G160">
        <f>COUNTIF(E:E,E160)</f>
        <v>110</v>
      </c>
      <c r="H160">
        <f>COUNTIFS(E:E,E160,A:A,A160,D:D,D160)</f>
        <v>1</v>
      </c>
      <c r="I160" t="e">
        <f>SUMIF([1]Mapeamento!$J:$J,A160,[1]Mapeamento!$L:$L)</f>
        <v>#VALUE!</v>
      </c>
      <c r="J160" s="1" t="e">
        <f>SUMIF('[1]Map_Meso-Ox'!$C:$C,A160,'[1]Map_Meso-Ox'!$D:$D)</f>
        <v>#VALUE!</v>
      </c>
      <c r="K160" s="2" t="e">
        <f t="shared" si="4"/>
        <v>#VALUE!</v>
      </c>
      <c r="L160" s="1" t="e">
        <f>SUMIF('[1]Map_Meso-Ox'!$C:$C,A160,'[1]Map_Meso-Ox'!$E:$E)</f>
        <v>#VALUE!</v>
      </c>
      <c r="M160" s="2" t="e">
        <f t="shared" si="5"/>
        <v>#VALUE!</v>
      </c>
    </row>
    <row r="161" spans="1:13" x14ac:dyDescent="0.25">
      <c r="A161">
        <v>50</v>
      </c>
      <c r="B161">
        <v>-1</v>
      </c>
      <c r="C161">
        <v>28.998999999999999</v>
      </c>
      <c r="D161">
        <v>0.25629999999999997</v>
      </c>
      <c r="E161" t="s">
        <v>6</v>
      </c>
      <c r="F161">
        <v>0</v>
      </c>
      <c r="G161">
        <f>COUNTIF(E:E,E161)</f>
        <v>110</v>
      </c>
      <c r="H161">
        <f>COUNTIFS(E:E,E161,A:A,A161,D:D,D161)</f>
        <v>1</v>
      </c>
      <c r="I161" t="e">
        <f>SUMIF([1]Mapeamento!$J:$J,A161,[1]Mapeamento!$L:$L)</f>
        <v>#VALUE!</v>
      </c>
      <c r="J161" s="1" t="e">
        <f>SUMIF('[1]Map_Meso-Ox'!$C:$C,A161,'[1]Map_Meso-Ox'!$D:$D)</f>
        <v>#VALUE!</v>
      </c>
      <c r="K161" s="2" t="e">
        <f t="shared" si="4"/>
        <v>#VALUE!</v>
      </c>
      <c r="L161" s="1" t="e">
        <f>SUMIF('[1]Map_Meso-Ox'!$C:$C,A161,'[1]Map_Meso-Ox'!$E:$E)</f>
        <v>#VALUE!</v>
      </c>
      <c r="M161" s="2" t="e">
        <f t="shared" si="5"/>
        <v>#VALUE!</v>
      </c>
    </row>
    <row r="162" spans="1:13" x14ac:dyDescent="0.25">
      <c r="A162">
        <v>51</v>
      </c>
      <c r="B162">
        <v>-1</v>
      </c>
      <c r="C162">
        <v>30.983000000000001</v>
      </c>
      <c r="D162">
        <v>0.31659999999999999</v>
      </c>
      <c r="E162" t="s">
        <v>6</v>
      </c>
      <c r="F162">
        <v>0</v>
      </c>
      <c r="G162">
        <f>COUNTIF(E:E,E162)</f>
        <v>110</v>
      </c>
      <c r="H162">
        <f>COUNTIFS(E:E,E162,A:A,A162,D:D,D162)</f>
        <v>1</v>
      </c>
      <c r="I162" t="e">
        <f>SUMIF([1]Mapeamento!$J:$J,A162,[1]Mapeamento!$L:$L)</f>
        <v>#VALUE!</v>
      </c>
      <c r="J162" s="1" t="e">
        <f>SUMIF('[1]Map_Meso-Ox'!$C:$C,A162,'[1]Map_Meso-Ox'!$D:$D)</f>
        <v>#VALUE!</v>
      </c>
      <c r="K162" s="2" t="e">
        <f t="shared" si="4"/>
        <v>#VALUE!</v>
      </c>
      <c r="L162" s="1" t="e">
        <f>SUMIF('[1]Map_Meso-Ox'!$C:$C,A162,'[1]Map_Meso-Ox'!$E:$E)</f>
        <v>#VALUE!</v>
      </c>
      <c r="M162" s="2" t="e">
        <f t="shared" si="5"/>
        <v>#VALUE!</v>
      </c>
    </row>
    <row r="163" spans="1:13" x14ac:dyDescent="0.25">
      <c r="A163">
        <v>52</v>
      </c>
      <c r="B163">
        <v>-1</v>
      </c>
      <c r="C163">
        <v>42.521999999999998</v>
      </c>
      <c r="D163">
        <v>1.01E-2</v>
      </c>
      <c r="E163" t="s">
        <v>6</v>
      </c>
      <c r="F163">
        <v>1</v>
      </c>
      <c r="G163">
        <f>COUNTIF(E:E,E163)</f>
        <v>110</v>
      </c>
      <c r="H163">
        <f>COUNTIFS(E:E,E163,A:A,A163,D:D,D163)</f>
        <v>1</v>
      </c>
      <c r="I163" t="e">
        <f>SUMIF([1]Mapeamento!$J:$J,A163,[1]Mapeamento!$L:$L)</f>
        <v>#VALUE!</v>
      </c>
      <c r="J163" s="1" t="e">
        <f>SUMIF('[1]Map_Meso-Ox'!$C:$C,A163,'[1]Map_Meso-Ox'!$D:$D)</f>
        <v>#VALUE!</v>
      </c>
      <c r="K163" s="2" t="e">
        <f t="shared" si="4"/>
        <v>#VALUE!</v>
      </c>
      <c r="L163" s="1" t="e">
        <f>SUMIF('[1]Map_Meso-Ox'!$C:$C,A163,'[1]Map_Meso-Ox'!$E:$E)</f>
        <v>#VALUE!</v>
      </c>
      <c r="M163" s="2" t="e">
        <f t="shared" si="5"/>
        <v>#VALUE!</v>
      </c>
    </row>
    <row r="164" spans="1:13" x14ac:dyDescent="0.25">
      <c r="A164">
        <v>53</v>
      </c>
      <c r="B164">
        <v>-1</v>
      </c>
      <c r="C164">
        <v>52.564</v>
      </c>
      <c r="D164">
        <v>0</v>
      </c>
      <c r="E164" t="s">
        <v>6</v>
      </c>
      <c r="F164">
        <v>3</v>
      </c>
      <c r="G164">
        <f>COUNTIF(E:E,E164)</f>
        <v>110</v>
      </c>
      <c r="H164">
        <f>COUNTIFS(E:E,E164,A:A,A164,D:D,D164)</f>
        <v>1</v>
      </c>
      <c r="I164" t="e">
        <f>SUMIF([1]Mapeamento!$J:$J,A164,[1]Mapeamento!$L:$L)</f>
        <v>#VALUE!</v>
      </c>
      <c r="J164" s="1" t="e">
        <f>SUMIF('[1]Map_Meso-Ox'!$C:$C,A164,'[1]Map_Meso-Ox'!$D:$D)</f>
        <v>#VALUE!</v>
      </c>
      <c r="K164" s="2" t="e">
        <f t="shared" si="4"/>
        <v>#VALUE!</v>
      </c>
      <c r="L164" s="1" t="e">
        <f>SUMIF('[1]Map_Meso-Ox'!$C:$C,A164,'[1]Map_Meso-Ox'!$E:$E)</f>
        <v>#VALUE!</v>
      </c>
      <c r="M164" s="2" t="e">
        <f t="shared" si="5"/>
        <v>#VALUE!</v>
      </c>
    </row>
    <row r="165" spans="1:13" x14ac:dyDescent="0.25">
      <c r="A165">
        <v>54</v>
      </c>
      <c r="B165">
        <v>-1</v>
      </c>
      <c r="C165">
        <v>33.93</v>
      </c>
      <c r="D165">
        <v>4.5199999999999997E-2</v>
      </c>
      <c r="E165" t="s">
        <v>6</v>
      </c>
      <c r="F165">
        <v>1</v>
      </c>
      <c r="G165">
        <f>COUNTIF(E:E,E165)</f>
        <v>110</v>
      </c>
      <c r="H165">
        <f>COUNTIFS(E:E,E165,A:A,A165,D:D,D165)</f>
        <v>1</v>
      </c>
      <c r="I165" t="e">
        <f>SUMIF([1]Mapeamento!$J:$J,A165,[1]Mapeamento!$L:$L)</f>
        <v>#VALUE!</v>
      </c>
      <c r="J165" s="1" t="e">
        <f>SUMIF('[1]Map_Meso-Ox'!$C:$C,A165,'[1]Map_Meso-Ox'!$D:$D)</f>
        <v>#VALUE!</v>
      </c>
      <c r="K165" s="2" t="e">
        <f t="shared" si="4"/>
        <v>#VALUE!</v>
      </c>
      <c r="L165" s="1" t="e">
        <f>SUMIF('[1]Map_Meso-Ox'!$C:$C,A165,'[1]Map_Meso-Ox'!$E:$E)</f>
        <v>#VALUE!</v>
      </c>
      <c r="M165" s="2" t="e">
        <f t="shared" si="5"/>
        <v>#VALUE!</v>
      </c>
    </row>
    <row r="166" spans="1:13" x14ac:dyDescent="0.25">
      <c r="A166">
        <v>55</v>
      </c>
      <c r="B166">
        <v>-1</v>
      </c>
      <c r="C166">
        <v>26.754000000000001</v>
      </c>
      <c r="D166">
        <v>9.0499999999999997E-2</v>
      </c>
      <c r="E166" t="s">
        <v>6</v>
      </c>
      <c r="F166">
        <v>1</v>
      </c>
      <c r="G166">
        <f>COUNTIF(E:E,E166)</f>
        <v>110</v>
      </c>
      <c r="H166">
        <f>COUNTIFS(E:E,E166,A:A,A166,D:D,D166)</f>
        <v>1</v>
      </c>
      <c r="I166" t="e">
        <f>SUMIF([1]Mapeamento!$J:$J,A166,[1]Mapeamento!$L:$L)</f>
        <v>#VALUE!</v>
      </c>
      <c r="J166" s="1" t="e">
        <f>SUMIF('[1]Map_Meso-Ox'!$C:$C,A166,'[1]Map_Meso-Ox'!$D:$D)</f>
        <v>#VALUE!</v>
      </c>
      <c r="K166" s="2" t="e">
        <f t="shared" si="4"/>
        <v>#VALUE!</v>
      </c>
      <c r="L166" s="1" t="e">
        <f>SUMIF('[1]Map_Meso-Ox'!$C:$C,A166,'[1]Map_Meso-Ox'!$E:$E)</f>
        <v>#VALUE!</v>
      </c>
      <c r="M166" s="2" t="e">
        <f t="shared" si="5"/>
        <v>#VALUE!</v>
      </c>
    </row>
    <row r="167" spans="1:13" x14ac:dyDescent="0.25">
      <c r="A167">
        <v>56</v>
      </c>
      <c r="B167">
        <v>-1</v>
      </c>
      <c r="C167">
        <v>38.613999999999997</v>
      </c>
      <c r="D167">
        <v>6.0299999999999999E-2</v>
      </c>
      <c r="E167" t="s">
        <v>6</v>
      </c>
      <c r="F167">
        <v>1</v>
      </c>
      <c r="G167">
        <f>COUNTIF(E:E,E167)</f>
        <v>110</v>
      </c>
      <c r="H167">
        <f>COUNTIFS(E:E,E167,A:A,A167,D:D,D167)</f>
        <v>1</v>
      </c>
      <c r="I167" t="e">
        <f>SUMIF([1]Mapeamento!$J:$J,A167,[1]Mapeamento!$L:$L)</f>
        <v>#VALUE!</v>
      </c>
      <c r="J167" s="1" t="e">
        <f>SUMIF('[1]Map_Meso-Ox'!$C:$C,A167,'[1]Map_Meso-Ox'!$D:$D)</f>
        <v>#VALUE!</v>
      </c>
      <c r="K167" s="2" t="e">
        <f t="shared" si="4"/>
        <v>#VALUE!</v>
      </c>
      <c r="L167" s="1" t="e">
        <f>SUMIF('[1]Map_Meso-Ox'!$C:$C,A167,'[1]Map_Meso-Ox'!$E:$E)</f>
        <v>#VALUE!</v>
      </c>
      <c r="M167" s="2" t="e">
        <f t="shared" si="5"/>
        <v>#VALUE!</v>
      </c>
    </row>
    <row r="168" spans="1:13" x14ac:dyDescent="0.25">
      <c r="A168">
        <v>57</v>
      </c>
      <c r="B168">
        <v>-1</v>
      </c>
      <c r="C168">
        <v>37.683</v>
      </c>
      <c r="D168">
        <v>2.01E-2</v>
      </c>
      <c r="E168" t="s">
        <v>6</v>
      </c>
      <c r="F168">
        <v>0</v>
      </c>
      <c r="G168">
        <f>COUNTIF(E:E,E168)</f>
        <v>110</v>
      </c>
      <c r="H168">
        <f>COUNTIFS(E:E,E168,A:A,A168,D:D,D168)</f>
        <v>1</v>
      </c>
      <c r="I168" t="e">
        <f>SUMIF([1]Mapeamento!$J:$J,A168,[1]Mapeamento!$L:$L)</f>
        <v>#VALUE!</v>
      </c>
      <c r="J168" s="1" t="e">
        <f>SUMIF('[1]Map_Meso-Ox'!$C:$C,A168,'[1]Map_Meso-Ox'!$D:$D)</f>
        <v>#VALUE!</v>
      </c>
      <c r="K168" s="2" t="e">
        <f t="shared" si="4"/>
        <v>#VALUE!</v>
      </c>
      <c r="L168" s="1" t="e">
        <f>SUMIF('[1]Map_Meso-Ox'!$C:$C,A168,'[1]Map_Meso-Ox'!$E:$E)</f>
        <v>#VALUE!</v>
      </c>
      <c r="M168" s="2" t="e">
        <f t="shared" si="5"/>
        <v>#VALUE!</v>
      </c>
    </row>
    <row r="169" spans="1:13" x14ac:dyDescent="0.25">
      <c r="A169">
        <v>58</v>
      </c>
      <c r="B169">
        <v>-1</v>
      </c>
      <c r="C169">
        <v>30.016999999999999</v>
      </c>
      <c r="D169">
        <v>6.0299999999999999E-2</v>
      </c>
      <c r="E169" t="s">
        <v>6</v>
      </c>
      <c r="F169">
        <v>1</v>
      </c>
      <c r="G169">
        <f>COUNTIF(E:E,E169)</f>
        <v>110</v>
      </c>
      <c r="H169">
        <f>COUNTIFS(E:E,E169,A:A,A169,D:D,D169)</f>
        <v>1</v>
      </c>
      <c r="I169" t="e">
        <f>SUMIF([1]Mapeamento!$J:$J,A169,[1]Mapeamento!$L:$L)</f>
        <v>#VALUE!</v>
      </c>
      <c r="J169" s="1" t="e">
        <f>SUMIF('[1]Map_Meso-Ox'!$C:$C,A169,'[1]Map_Meso-Ox'!$D:$D)</f>
        <v>#VALUE!</v>
      </c>
      <c r="K169" s="2" t="e">
        <f t="shared" si="4"/>
        <v>#VALUE!</v>
      </c>
      <c r="L169" s="1" t="e">
        <f>SUMIF('[1]Map_Meso-Ox'!$C:$C,A169,'[1]Map_Meso-Ox'!$E:$E)</f>
        <v>#VALUE!</v>
      </c>
      <c r="M169" s="2" t="e">
        <f t="shared" si="5"/>
        <v>#VALUE!</v>
      </c>
    </row>
    <row r="170" spans="1:13" x14ac:dyDescent="0.25">
      <c r="A170">
        <v>59</v>
      </c>
      <c r="B170">
        <v>-1</v>
      </c>
      <c r="C170">
        <v>30.588999999999999</v>
      </c>
      <c r="D170">
        <v>0.1206</v>
      </c>
      <c r="E170" t="s">
        <v>6</v>
      </c>
      <c r="F170">
        <v>1</v>
      </c>
      <c r="G170">
        <f>COUNTIF(E:E,E170)</f>
        <v>110</v>
      </c>
      <c r="H170">
        <f>COUNTIFS(E:E,E170,A:A,A170,D:D,D170)</f>
        <v>1</v>
      </c>
      <c r="I170" t="e">
        <f>SUMIF([1]Mapeamento!$J:$J,A170,[1]Mapeamento!$L:$L)</f>
        <v>#VALUE!</v>
      </c>
      <c r="J170" s="1" t="e">
        <f>SUMIF('[1]Map_Meso-Ox'!$C:$C,A170,'[1]Map_Meso-Ox'!$D:$D)</f>
        <v>#VALUE!</v>
      </c>
      <c r="K170" s="2" t="e">
        <f t="shared" si="4"/>
        <v>#VALUE!</v>
      </c>
      <c r="L170" s="1" t="e">
        <f>SUMIF('[1]Map_Meso-Ox'!$C:$C,A170,'[1]Map_Meso-Ox'!$E:$E)</f>
        <v>#VALUE!</v>
      </c>
      <c r="M170" s="2" t="e">
        <f t="shared" si="5"/>
        <v>#VALUE!</v>
      </c>
    </row>
    <row r="171" spans="1:13" x14ac:dyDescent="0.25">
      <c r="A171">
        <v>60</v>
      </c>
      <c r="B171">
        <v>-1</v>
      </c>
      <c r="C171">
        <v>44.454000000000001</v>
      </c>
      <c r="D171">
        <v>0</v>
      </c>
      <c r="E171" t="s">
        <v>6</v>
      </c>
      <c r="F171">
        <v>1</v>
      </c>
      <c r="G171">
        <f>COUNTIF(E:E,E171)</f>
        <v>110</v>
      </c>
      <c r="H171">
        <f>COUNTIFS(E:E,E171,A:A,A171,D:D,D171)</f>
        <v>1</v>
      </c>
      <c r="I171" t="e">
        <f>SUMIF([1]Mapeamento!$J:$J,A171,[1]Mapeamento!$L:$L)</f>
        <v>#VALUE!</v>
      </c>
      <c r="J171" s="1" t="e">
        <f>SUMIF('[1]Map_Meso-Ox'!$C:$C,A171,'[1]Map_Meso-Ox'!$D:$D)</f>
        <v>#VALUE!</v>
      </c>
      <c r="K171" s="2" t="e">
        <f t="shared" si="4"/>
        <v>#VALUE!</v>
      </c>
      <c r="L171" s="1" t="e">
        <f>SUMIF('[1]Map_Meso-Ox'!$C:$C,A171,'[1]Map_Meso-Ox'!$E:$E)</f>
        <v>#VALUE!</v>
      </c>
      <c r="M171" s="2" t="e">
        <f t="shared" si="5"/>
        <v>#VALUE!</v>
      </c>
    </row>
    <row r="172" spans="1:13" x14ac:dyDescent="0.25">
      <c r="A172">
        <v>61</v>
      </c>
      <c r="B172">
        <v>-1</v>
      </c>
      <c r="C172">
        <v>31.195</v>
      </c>
      <c r="D172">
        <v>0.13569999999999999</v>
      </c>
      <c r="E172" t="s">
        <v>6</v>
      </c>
      <c r="F172">
        <v>0</v>
      </c>
      <c r="G172">
        <f>COUNTIF(E:E,E172)</f>
        <v>110</v>
      </c>
      <c r="H172">
        <f>COUNTIFS(E:E,E172,A:A,A172,D:D,D172)</f>
        <v>1</v>
      </c>
      <c r="I172" t="e">
        <f>SUMIF([1]Mapeamento!$J:$J,A172,[1]Mapeamento!$L:$L)</f>
        <v>#VALUE!</v>
      </c>
      <c r="J172" s="1" t="e">
        <f>SUMIF('[1]Map_Meso-Ox'!$C:$C,A172,'[1]Map_Meso-Ox'!$D:$D)</f>
        <v>#VALUE!</v>
      </c>
      <c r="K172" s="2" t="e">
        <f t="shared" si="4"/>
        <v>#VALUE!</v>
      </c>
      <c r="L172" s="1" t="e">
        <f>SUMIF('[1]Map_Meso-Ox'!$C:$C,A172,'[1]Map_Meso-Ox'!$E:$E)</f>
        <v>#VALUE!</v>
      </c>
      <c r="M172" s="2" t="e">
        <f t="shared" si="5"/>
        <v>#VALUE!</v>
      </c>
    </row>
    <row r="173" spans="1:13" x14ac:dyDescent="0.25">
      <c r="A173">
        <v>62</v>
      </c>
      <c r="B173">
        <v>-1</v>
      </c>
      <c r="C173">
        <v>50.581000000000003</v>
      </c>
      <c r="D173">
        <v>5.0000000000000001E-3</v>
      </c>
      <c r="E173" t="s">
        <v>6</v>
      </c>
      <c r="F173">
        <v>1</v>
      </c>
      <c r="G173">
        <f>COUNTIF(E:E,E173)</f>
        <v>110</v>
      </c>
      <c r="H173">
        <f>COUNTIFS(E:E,E173,A:A,A173,D:D,D173)</f>
        <v>1</v>
      </c>
      <c r="I173" t="e">
        <f>SUMIF([1]Mapeamento!$J:$J,A173,[1]Mapeamento!$L:$L)</f>
        <v>#VALUE!</v>
      </c>
      <c r="J173" s="1" t="e">
        <f>SUMIF('[1]Map_Meso-Ox'!$C:$C,A173,'[1]Map_Meso-Ox'!$D:$D)</f>
        <v>#VALUE!</v>
      </c>
      <c r="K173" s="2" t="e">
        <f t="shared" si="4"/>
        <v>#VALUE!</v>
      </c>
      <c r="L173" s="1" t="e">
        <f>SUMIF('[1]Map_Meso-Ox'!$C:$C,A173,'[1]Map_Meso-Ox'!$E:$E)</f>
        <v>#VALUE!</v>
      </c>
      <c r="M173" s="2" t="e">
        <f t="shared" si="5"/>
        <v>#VALUE!</v>
      </c>
    </row>
    <row r="174" spans="1:13" x14ac:dyDescent="0.25">
      <c r="A174">
        <v>63</v>
      </c>
      <c r="B174">
        <v>-1</v>
      </c>
      <c r="C174">
        <v>43.48</v>
      </c>
      <c r="D174">
        <v>1.5100000000000001E-2</v>
      </c>
      <c r="E174" t="s">
        <v>6</v>
      </c>
      <c r="F174">
        <v>1</v>
      </c>
      <c r="G174">
        <f>COUNTIF(E:E,E174)</f>
        <v>110</v>
      </c>
      <c r="H174">
        <f>COUNTIFS(E:E,E174,A:A,A174,D:D,D174)</f>
        <v>1</v>
      </c>
      <c r="I174" t="e">
        <f>SUMIF([1]Mapeamento!$J:$J,A174,[1]Mapeamento!$L:$L)</f>
        <v>#VALUE!</v>
      </c>
      <c r="J174" s="1" t="e">
        <f>SUMIF('[1]Map_Meso-Ox'!$C:$C,A174,'[1]Map_Meso-Ox'!$D:$D)</f>
        <v>#VALUE!</v>
      </c>
      <c r="K174" s="2" t="e">
        <f t="shared" si="4"/>
        <v>#VALUE!</v>
      </c>
      <c r="L174" s="1" t="e">
        <f>SUMIF('[1]Map_Meso-Ox'!$C:$C,A174,'[1]Map_Meso-Ox'!$E:$E)</f>
        <v>#VALUE!</v>
      </c>
      <c r="M174" s="2" t="e">
        <f t="shared" si="5"/>
        <v>#VALUE!</v>
      </c>
    </row>
    <row r="175" spans="1:13" x14ac:dyDescent="0.25">
      <c r="A175">
        <v>64</v>
      </c>
      <c r="B175">
        <v>-1</v>
      </c>
      <c r="C175">
        <v>39.173999999999999</v>
      </c>
      <c r="D175">
        <v>1.5100000000000001E-2</v>
      </c>
      <c r="E175" t="s">
        <v>6</v>
      </c>
      <c r="F175">
        <v>0</v>
      </c>
      <c r="G175">
        <f>COUNTIF(E:E,E175)</f>
        <v>110</v>
      </c>
      <c r="H175">
        <f>COUNTIFS(E:E,E175,A:A,A175,D:D,D175)</f>
        <v>1</v>
      </c>
      <c r="I175" t="e">
        <f>SUMIF([1]Mapeamento!$J:$J,A175,[1]Mapeamento!$L:$L)</f>
        <v>#VALUE!</v>
      </c>
      <c r="J175" s="1" t="e">
        <f>SUMIF('[1]Map_Meso-Ox'!$C:$C,A175,'[1]Map_Meso-Ox'!$D:$D)</f>
        <v>#VALUE!</v>
      </c>
      <c r="K175" s="2" t="e">
        <f t="shared" si="4"/>
        <v>#VALUE!</v>
      </c>
      <c r="L175" s="1" t="e">
        <f>SUMIF('[1]Map_Meso-Ox'!$C:$C,A175,'[1]Map_Meso-Ox'!$E:$E)</f>
        <v>#VALUE!</v>
      </c>
      <c r="M175" s="2" t="e">
        <f t="shared" si="5"/>
        <v>#VALUE!</v>
      </c>
    </row>
    <row r="176" spans="1:13" x14ac:dyDescent="0.25">
      <c r="A176">
        <v>65</v>
      </c>
      <c r="B176">
        <v>-1</v>
      </c>
      <c r="C176">
        <v>30.350999999999999</v>
      </c>
      <c r="D176">
        <v>1.5100000000000001E-2</v>
      </c>
      <c r="E176" t="s">
        <v>6</v>
      </c>
      <c r="F176">
        <v>2</v>
      </c>
      <c r="G176">
        <f>COUNTIF(E:E,E176)</f>
        <v>110</v>
      </c>
      <c r="H176">
        <f>COUNTIFS(E:E,E176,A:A,A176,D:D,D176)</f>
        <v>1</v>
      </c>
      <c r="I176" t="e">
        <f>SUMIF([1]Mapeamento!$J:$J,A176,[1]Mapeamento!$L:$L)</f>
        <v>#VALUE!</v>
      </c>
      <c r="J176" s="1" t="e">
        <f>SUMIF('[1]Map_Meso-Ox'!$C:$C,A176,'[1]Map_Meso-Ox'!$D:$D)</f>
        <v>#VALUE!</v>
      </c>
      <c r="K176" s="2" t="e">
        <f t="shared" si="4"/>
        <v>#VALUE!</v>
      </c>
      <c r="L176" s="1" t="e">
        <f>SUMIF('[1]Map_Meso-Ox'!$C:$C,A176,'[1]Map_Meso-Ox'!$E:$E)</f>
        <v>#VALUE!</v>
      </c>
      <c r="M176" s="2" t="e">
        <f t="shared" si="5"/>
        <v>#VALUE!</v>
      </c>
    </row>
    <row r="177" spans="1:13" x14ac:dyDescent="0.25">
      <c r="A177">
        <v>66</v>
      </c>
      <c r="B177">
        <v>-1</v>
      </c>
      <c r="C177">
        <v>31.24</v>
      </c>
      <c r="D177">
        <v>3.0200000000000001E-2</v>
      </c>
      <c r="E177" t="s">
        <v>6</v>
      </c>
      <c r="F177">
        <v>1</v>
      </c>
      <c r="G177">
        <f>COUNTIF(E:E,E177)</f>
        <v>110</v>
      </c>
      <c r="H177">
        <f>COUNTIFS(E:E,E177,A:A,A177,D:D,D177)</f>
        <v>1</v>
      </c>
      <c r="I177" t="e">
        <f>SUMIF([1]Mapeamento!$J:$J,A177,[1]Mapeamento!$L:$L)</f>
        <v>#VALUE!</v>
      </c>
      <c r="J177" s="1" t="e">
        <f>SUMIF('[1]Map_Meso-Ox'!$C:$C,A177,'[1]Map_Meso-Ox'!$D:$D)</f>
        <v>#VALUE!</v>
      </c>
      <c r="K177" s="2" t="e">
        <f t="shared" si="4"/>
        <v>#VALUE!</v>
      </c>
      <c r="L177" s="1" t="e">
        <f>SUMIF('[1]Map_Meso-Ox'!$C:$C,A177,'[1]Map_Meso-Ox'!$E:$E)</f>
        <v>#VALUE!</v>
      </c>
      <c r="M177" s="2" t="e">
        <f t="shared" si="5"/>
        <v>#VALUE!</v>
      </c>
    </row>
    <row r="178" spans="1:13" x14ac:dyDescent="0.25">
      <c r="A178">
        <v>67</v>
      </c>
      <c r="B178">
        <v>-1</v>
      </c>
      <c r="C178">
        <v>41.865000000000002</v>
      </c>
      <c r="D178">
        <v>5.0000000000000001E-3</v>
      </c>
      <c r="E178" t="s">
        <v>6</v>
      </c>
      <c r="F178">
        <v>1</v>
      </c>
      <c r="G178">
        <f>COUNTIF(E:E,E178)</f>
        <v>110</v>
      </c>
      <c r="H178">
        <f>COUNTIFS(E:E,E178,A:A,A178,D:D,D178)</f>
        <v>1</v>
      </c>
      <c r="I178" t="e">
        <f>SUMIF([1]Mapeamento!$J:$J,A178,[1]Mapeamento!$L:$L)</f>
        <v>#VALUE!</v>
      </c>
      <c r="J178" s="1" t="e">
        <f>SUMIF('[1]Map_Meso-Ox'!$C:$C,A178,'[1]Map_Meso-Ox'!$D:$D)</f>
        <v>#VALUE!</v>
      </c>
      <c r="K178" s="2" t="e">
        <f t="shared" si="4"/>
        <v>#VALUE!</v>
      </c>
      <c r="L178" s="1" t="e">
        <f>SUMIF('[1]Map_Meso-Ox'!$C:$C,A178,'[1]Map_Meso-Ox'!$E:$E)</f>
        <v>#VALUE!</v>
      </c>
      <c r="M178" s="2" t="e">
        <f t="shared" si="5"/>
        <v>#VALUE!</v>
      </c>
    </row>
    <row r="179" spans="1:13" x14ac:dyDescent="0.25">
      <c r="A179">
        <v>68</v>
      </c>
      <c r="B179">
        <v>-1</v>
      </c>
      <c r="C179">
        <v>33.914000000000001</v>
      </c>
      <c r="D179">
        <v>5.0000000000000001E-3</v>
      </c>
      <c r="E179" t="s">
        <v>6</v>
      </c>
      <c r="F179">
        <v>3</v>
      </c>
      <c r="G179">
        <f>COUNTIF(E:E,E179)</f>
        <v>110</v>
      </c>
      <c r="H179">
        <f>COUNTIFS(E:E,E179,A:A,A179,D:D,D179)</f>
        <v>1</v>
      </c>
      <c r="I179" t="e">
        <f>SUMIF([1]Mapeamento!$J:$J,A179,[1]Mapeamento!$L:$L)</f>
        <v>#VALUE!</v>
      </c>
      <c r="J179" s="1" t="e">
        <f>SUMIF('[1]Map_Meso-Ox'!$C:$C,A179,'[1]Map_Meso-Ox'!$D:$D)</f>
        <v>#VALUE!</v>
      </c>
      <c r="K179" s="2" t="e">
        <f t="shared" si="4"/>
        <v>#VALUE!</v>
      </c>
      <c r="L179" s="1" t="e">
        <f>SUMIF('[1]Map_Meso-Ox'!$C:$C,A179,'[1]Map_Meso-Ox'!$E:$E)</f>
        <v>#VALUE!</v>
      </c>
      <c r="M179" s="2" t="e">
        <f t="shared" si="5"/>
        <v>#VALUE!</v>
      </c>
    </row>
    <row r="180" spans="1:13" x14ac:dyDescent="0.25">
      <c r="A180">
        <v>69</v>
      </c>
      <c r="B180">
        <v>-1</v>
      </c>
      <c r="C180">
        <v>39.052999999999997</v>
      </c>
      <c r="D180">
        <v>5.0000000000000001E-3</v>
      </c>
      <c r="E180" t="s">
        <v>6</v>
      </c>
      <c r="F180">
        <v>0</v>
      </c>
      <c r="G180">
        <f>COUNTIF(E:E,E180)</f>
        <v>110</v>
      </c>
      <c r="H180">
        <f>COUNTIFS(E:E,E180,A:A,A180,D:D,D180)</f>
        <v>1</v>
      </c>
      <c r="I180" t="e">
        <f>SUMIF([1]Mapeamento!$J:$J,A180,[1]Mapeamento!$L:$L)</f>
        <v>#VALUE!</v>
      </c>
      <c r="J180" s="1" t="e">
        <f>SUMIF('[1]Map_Meso-Ox'!$C:$C,A180,'[1]Map_Meso-Ox'!$D:$D)</f>
        <v>#VALUE!</v>
      </c>
      <c r="K180" s="2" t="e">
        <f t="shared" si="4"/>
        <v>#VALUE!</v>
      </c>
      <c r="L180" s="1" t="e">
        <f>SUMIF('[1]Map_Meso-Ox'!$C:$C,A180,'[1]Map_Meso-Ox'!$E:$E)</f>
        <v>#VALUE!</v>
      </c>
      <c r="M180" s="2" t="e">
        <f t="shared" si="5"/>
        <v>#VALUE!</v>
      </c>
    </row>
    <row r="181" spans="1:13" x14ac:dyDescent="0.25">
      <c r="A181">
        <v>70</v>
      </c>
      <c r="B181">
        <v>-1</v>
      </c>
      <c r="C181">
        <v>39.185000000000002</v>
      </c>
      <c r="D181">
        <v>0</v>
      </c>
      <c r="E181" t="s">
        <v>6</v>
      </c>
      <c r="F181">
        <v>1</v>
      </c>
      <c r="G181">
        <f>COUNTIF(E:E,E181)</f>
        <v>110</v>
      </c>
      <c r="H181">
        <f>COUNTIFS(E:E,E181,A:A,A181,D:D,D181)</f>
        <v>1</v>
      </c>
      <c r="I181" t="e">
        <f>SUMIF([1]Mapeamento!$J:$J,A181,[1]Mapeamento!$L:$L)</f>
        <v>#VALUE!</v>
      </c>
      <c r="J181" s="1" t="e">
        <f>SUMIF('[1]Map_Meso-Ox'!$C:$C,A181,'[1]Map_Meso-Ox'!$D:$D)</f>
        <v>#VALUE!</v>
      </c>
      <c r="K181" s="2" t="e">
        <f t="shared" si="4"/>
        <v>#VALUE!</v>
      </c>
      <c r="L181" s="1" t="e">
        <f>SUMIF('[1]Map_Meso-Ox'!$C:$C,A181,'[1]Map_Meso-Ox'!$E:$E)</f>
        <v>#VALUE!</v>
      </c>
      <c r="M181" s="2" t="e">
        <f t="shared" si="5"/>
        <v>#VALUE!</v>
      </c>
    </row>
    <row r="182" spans="1:13" x14ac:dyDescent="0.25">
      <c r="A182">
        <v>71</v>
      </c>
      <c r="B182">
        <v>-1</v>
      </c>
      <c r="C182">
        <v>20.143999999999998</v>
      </c>
      <c r="D182">
        <v>0.3417</v>
      </c>
      <c r="E182" t="s">
        <v>6</v>
      </c>
      <c r="F182">
        <v>2</v>
      </c>
      <c r="G182">
        <f>COUNTIF(E:E,E182)</f>
        <v>110</v>
      </c>
      <c r="H182">
        <f>COUNTIFS(E:E,E182,A:A,A182,D:D,D182)</f>
        <v>1</v>
      </c>
      <c r="I182" t="e">
        <f>SUMIF([1]Mapeamento!$J:$J,A182,[1]Mapeamento!$L:$L)</f>
        <v>#VALUE!</v>
      </c>
      <c r="J182" s="1" t="e">
        <f>SUMIF('[1]Map_Meso-Ox'!$C:$C,A182,'[1]Map_Meso-Ox'!$D:$D)</f>
        <v>#VALUE!</v>
      </c>
      <c r="K182" s="2" t="e">
        <f t="shared" si="4"/>
        <v>#VALUE!</v>
      </c>
      <c r="L182" s="1" t="e">
        <f>SUMIF('[1]Map_Meso-Ox'!$C:$C,A182,'[1]Map_Meso-Ox'!$E:$E)</f>
        <v>#VALUE!</v>
      </c>
      <c r="M182" s="2" t="e">
        <f t="shared" si="5"/>
        <v>#VALUE!</v>
      </c>
    </row>
    <row r="183" spans="1:13" x14ac:dyDescent="0.25">
      <c r="A183">
        <v>72</v>
      </c>
      <c r="B183">
        <v>-1</v>
      </c>
      <c r="C183">
        <v>34.893999999999998</v>
      </c>
      <c r="D183">
        <v>6.5299999999999997E-2</v>
      </c>
      <c r="E183" t="s">
        <v>6</v>
      </c>
      <c r="F183">
        <v>1</v>
      </c>
      <c r="G183">
        <f>COUNTIF(E:E,E183)</f>
        <v>110</v>
      </c>
      <c r="H183">
        <f>COUNTIFS(E:E,E183,A:A,A183,D:D,D183)</f>
        <v>1</v>
      </c>
      <c r="I183" t="e">
        <f>SUMIF([1]Mapeamento!$J:$J,A183,[1]Mapeamento!$L:$L)</f>
        <v>#VALUE!</v>
      </c>
      <c r="J183" s="1" t="e">
        <f>SUMIF('[1]Map_Meso-Ox'!$C:$C,A183,'[1]Map_Meso-Ox'!$D:$D)</f>
        <v>#VALUE!</v>
      </c>
      <c r="K183" s="2" t="e">
        <f t="shared" si="4"/>
        <v>#VALUE!</v>
      </c>
      <c r="L183" s="1" t="e">
        <f>SUMIF('[1]Map_Meso-Ox'!$C:$C,A183,'[1]Map_Meso-Ox'!$E:$E)</f>
        <v>#VALUE!</v>
      </c>
      <c r="M183" s="2" t="e">
        <f t="shared" si="5"/>
        <v>#VALUE!</v>
      </c>
    </row>
    <row r="184" spans="1:13" x14ac:dyDescent="0.25">
      <c r="A184">
        <v>73</v>
      </c>
      <c r="B184">
        <v>-1</v>
      </c>
      <c r="C184">
        <v>53.887</v>
      </c>
      <c r="D184">
        <v>0</v>
      </c>
      <c r="E184" t="s">
        <v>6</v>
      </c>
      <c r="F184">
        <v>2</v>
      </c>
      <c r="G184">
        <f>COUNTIF(E:E,E184)</f>
        <v>110</v>
      </c>
      <c r="H184">
        <f>COUNTIFS(E:E,E184,A:A,A184,D:D,D184)</f>
        <v>1</v>
      </c>
      <c r="I184" t="e">
        <f>SUMIF([1]Mapeamento!$J:$J,A184,[1]Mapeamento!$L:$L)</f>
        <v>#VALUE!</v>
      </c>
      <c r="J184" s="1" t="e">
        <f>SUMIF('[1]Map_Meso-Ox'!$C:$C,A184,'[1]Map_Meso-Ox'!$D:$D)</f>
        <v>#VALUE!</v>
      </c>
      <c r="K184" s="2" t="e">
        <f t="shared" si="4"/>
        <v>#VALUE!</v>
      </c>
      <c r="L184" s="1" t="e">
        <f>SUMIF('[1]Map_Meso-Ox'!$C:$C,A184,'[1]Map_Meso-Ox'!$E:$E)</f>
        <v>#VALUE!</v>
      </c>
      <c r="M184" s="2" t="e">
        <f t="shared" si="5"/>
        <v>#VALUE!</v>
      </c>
    </row>
    <row r="185" spans="1:13" x14ac:dyDescent="0.25">
      <c r="A185">
        <v>74</v>
      </c>
      <c r="B185">
        <v>-1</v>
      </c>
      <c r="C185">
        <v>23.241</v>
      </c>
      <c r="D185">
        <v>0.36180000000000001</v>
      </c>
      <c r="E185" t="s">
        <v>6</v>
      </c>
      <c r="F185">
        <v>0</v>
      </c>
      <c r="G185">
        <f>COUNTIF(E:E,E185)</f>
        <v>110</v>
      </c>
      <c r="H185">
        <f>COUNTIFS(E:E,E185,A:A,A185,D:D,D185)</f>
        <v>1</v>
      </c>
      <c r="I185" t="e">
        <f>SUMIF([1]Mapeamento!$J:$J,A185,[1]Mapeamento!$L:$L)</f>
        <v>#VALUE!</v>
      </c>
      <c r="J185" s="1" t="e">
        <f>SUMIF('[1]Map_Meso-Ox'!$C:$C,A185,'[1]Map_Meso-Ox'!$D:$D)</f>
        <v>#VALUE!</v>
      </c>
      <c r="K185" s="2" t="e">
        <f t="shared" si="4"/>
        <v>#VALUE!</v>
      </c>
      <c r="L185" s="1" t="e">
        <f>SUMIF('[1]Map_Meso-Ox'!$C:$C,A185,'[1]Map_Meso-Ox'!$E:$E)</f>
        <v>#VALUE!</v>
      </c>
      <c r="M185" s="2" t="e">
        <f t="shared" si="5"/>
        <v>#VALUE!</v>
      </c>
    </row>
    <row r="186" spans="1:13" x14ac:dyDescent="0.25">
      <c r="A186">
        <v>75</v>
      </c>
      <c r="B186">
        <v>-1</v>
      </c>
      <c r="C186">
        <v>41.857999999999997</v>
      </c>
      <c r="D186">
        <v>1.5100000000000001E-2</v>
      </c>
      <c r="E186" t="s">
        <v>6</v>
      </c>
      <c r="F186">
        <v>1</v>
      </c>
      <c r="G186">
        <f>COUNTIF(E:E,E186)</f>
        <v>110</v>
      </c>
      <c r="H186">
        <f>COUNTIFS(E:E,E186,A:A,A186,D:D,D186)</f>
        <v>1</v>
      </c>
      <c r="I186" t="e">
        <f>SUMIF([1]Mapeamento!$J:$J,A186,[1]Mapeamento!$L:$L)</f>
        <v>#VALUE!</v>
      </c>
      <c r="J186" s="1" t="e">
        <f>SUMIF('[1]Map_Meso-Ox'!$C:$C,A186,'[1]Map_Meso-Ox'!$D:$D)</f>
        <v>#VALUE!</v>
      </c>
      <c r="K186" s="2" t="e">
        <f t="shared" si="4"/>
        <v>#VALUE!</v>
      </c>
      <c r="L186" s="1" t="e">
        <f>SUMIF('[1]Map_Meso-Ox'!$C:$C,A186,'[1]Map_Meso-Ox'!$E:$E)</f>
        <v>#VALUE!</v>
      </c>
      <c r="M186" s="2" t="e">
        <f t="shared" si="5"/>
        <v>#VALUE!</v>
      </c>
    </row>
    <row r="187" spans="1:13" x14ac:dyDescent="0.25">
      <c r="A187">
        <v>76</v>
      </c>
      <c r="B187">
        <v>-1</v>
      </c>
      <c r="C187">
        <v>34.090000000000003</v>
      </c>
      <c r="D187">
        <v>5.0000000000000001E-3</v>
      </c>
      <c r="E187" t="s">
        <v>6</v>
      </c>
      <c r="F187">
        <v>1</v>
      </c>
      <c r="G187">
        <f>COUNTIF(E:E,E187)</f>
        <v>110</v>
      </c>
      <c r="H187">
        <f>COUNTIFS(E:E,E187,A:A,A187,D:D,D187)</f>
        <v>1</v>
      </c>
      <c r="I187" t="e">
        <f>SUMIF([1]Mapeamento!$J:$J,A187,[1]Mapeamento!$L:$L)</f>
        <v>#VALUE!</v>
      </c>
      <c r="J187" s="1" t="e">
        <f>SUMIF('[1]Map_Meso-Ox'!$C:$C,A187,'[1]Map_Meso-Ox'!$D:$D)</f>
        <v>#VALUE!</v>
      </c>
      <c r="K187" s="2" t="e">
        <f t="shared" si="4"/>
        <v>#VALUE!</v>
      </c>
      <c r="L187" s="1" t="e">
        <f>SUMIF('[1]Map_Meso-Ox'!$C:$C,A187,'[1]Map_Meso-Ox'!$E:$E)</f>
        <v>#VALUE!</v>
      </c>
      <c r="M187" s="2" t="e">
        <f t="shared" si="5"/>
        <v>#VALUE!</v>
      </c>
    </row>
    <row r="188" spans="1:13" x14ac:dyDescent="0.25">
      <c r="A188">
        <v>77</v>
      </c>
      <c r="B188">
        <v>-1</v>
      </c>
      <c r="C188">
        <v>42.875999999999998</v>
      </c>
      <c r="D188">
        <v>0</v>
      </c>
      <c r="E188" t="s">
        <v>6</v>
      </c>
      <c r="F188">
        <v>1</v>
      </c>
      <c r="G188">
        <f>COUNTIF(E:E,E188)</f>
        <v>110</v>
      </c>
      <c r="H188">
        <f>COUNTIFS(E:E,E188,A:A,A188,D:D,D188)</f>
        <v>1</v>
      </c>
      <c r="I188" t="e">
        <f>SUMIF([1]Mapeamento!$J:$J,A188,[1]Mapeamento!$L:$L)</f>
        <v>#VALUE!</v>
      </c>
      <c r="J188" s="1" t="e">
        <f>SUMIF('[1]Map_Meso-Ox'!$C:$C,A188,'[1]Map_Meso-Ox'!$D:$D)</f>
        <v>#VALUE!</v>
      </c>
      <c r="K188" s="2" t="e">
        <f t="shared" si="4"/>
        <v>#VALUE!</v>
      </c>
      <c r="L188" s="1" t="e">
        <f>SUMIF('[1]Map_Meso-Ox'!$C:$C,A188,'[1]Map_Meso-Ox'!$E:$E)</f>
        <v>#VALUE!</v>
      </c>
      <c r="M188" s="2" t="e">
        <f t="shared" si="5"/>
        <v>#VALUE!</v>
      </c>
    </row>
    <row r="189" spans="1:13" x14ac:dyDescent="0.25">
      <c r="A189">
        <v>78</v>
      </c>
      <c r="B189">
        <v>-1</v>
      </c>
      <c r="C189">
        <v>41.896999999999998</v>
      </c>
      <c r="D189">
        <v>1.01E-2</v>
      </c>
      <c r="E189" t="s">
        <v>6</v>
      </c>
      <c r="F189">
        <v>2</v>
      </c>
      <c r="G189">
        <f>COUNTIF(E:E,E189)</f>
        <v>110</v>
      </c>
      <c r="H189">
        <f>COUNTIFS(E:E,E189,A:A,A189,D:D,D189)</f>
        <v>1</v>
      </c>
      <c r="I189" t="e">
        <f>SUMIF([1]Mapeamento!$J:$J,A189,[1]Mapeamento!$L:$L)</f>
        <v>#VALUE!</v>
      </c>
      <c r="J189" s="1" t="e">
        <f>SUMIF('[1]Map_Meso-Ox'!$C:$C,A189,'[1]Map_Meso-Ox'!$D:$D)</f>
        <v>#VALUE!</v>
      </c>
      <c r="K189" s="2" t="e">
        <f t="shared" si="4"/>
        <v>#VALUE!</v>
      </c>
      <c r="L189" s="1" t="e">
        <f>SUMIF('[1]Map_Meso-Ox'!$C:$C,A189,'[1]Map_Meso-Ox'!$E:$E)</f>
        <v>#VALUE!</v>
      </c>
      <c r="M189" s="2" t="e">
        <f t="shared" si="5"/>
        <v>#VALUE!</v>
      </c>
    </row>
    <row r="190" spans="1:13" x14ac:dyDescent="0.25">
      <c r="A190">
        <v>79</v>
      </c>
      <c r="B190">
        <v>-1</v>
      </c>
      <c r="C190">
        <v>49.103000000000002</v>
      </c>
      <c r="D190">
        <v>0</v>
      </c>
      <c r="E190" t="s">
        <v>6</v>
      </c>
      <c r="F190">
        <v>1</v>
      </c>
      <c r="G190">
        <f>COUNTIF(E:E,E190)</f>
        <v>110</v>
      </c>
      <c r="H190">
        <f>COUNTIFS(E:E,E190,A:A,A190,D:D,D190)</f>
        <v>1</v>
      </c>
      <c r="I190" t="e">
        <f>SUMIF([1]Mapeamento!$J:$J,A190,[1]Mapeamento!$L:$L)</f>
        <v>#VALUE!</v>
      </c>
      <c r="J190" s="1" t="e">
        <f>SUMIF('[1]Map_Meso-Ox'!$C:$C,A190,'[1]Map_Meso-Ox'!$D:$D)</f>
        <v>#VALUE!</v>
      </c>
      <c r="K190" s="2" t="e">
        <f t="shared" si="4"/>
        <v>#VALUE!</v>
      </c>
      <c r="L190" s="1" t="e">
        <f>SUMIF('[1]Map_Meso-Ox'!$C:$C,A190,'[1]Map_Meso-Ox'!$E:$E)</f>
        <v>#VALUE!</v>
      </c>
      <c r="M190" s="2" t="e">
        <f t="shared" si="5"/>
        <v>#VALUE!</v>
      </c>
    </row>
    <row r="191" spans="1:13" x14ac:dyDescent="0.25">
      <c r="A191">
        <v>80</v>
      </c>
      <c r="B191">
        <v>-1</v>
      </c>
      <c r="C191">
        <v>24.225999999999999</v>
      </c>
      <c r="D191">
        <v>0.2462</v>
      </c>
      <c r="E191" t="s">
        <v>6</v>
      </c>
      <c r="F191">
        <v>1</v>
      </c>
      <c r="G191">
        <f>COUNTIF(E:E,E191)</f>
        <v>110</v>
      </c>
      <c r="H191">
        <f>COUNTIFS(E:E,E191,A:A,A191,D:D,D191)</f>
        <v>1</v>
      </c>
      <c r="I191" t="e">
        <f>SUMIF([1]Mapeamento!$J:$J,A191,[1]Mapeamento!$L:$L)</f>
        <v>#VALUE!</v>
      </c>
      <c r="J191" s="1" t="e">
        <f>SUMIF('[1]Map_Meso-Ox'!$C:$C,A191,'[1]Map_Meso-Ox'!$D:$D)</f>
        <v>#VALUE!</v>
      </c>
      <c r="K191" s="2" t="e">
        <f t="shared" si="4"/>
        <v>#VALUE!</v>
      </c>
      <c r="L191" s="1" t="e">
        <f>SUMIF('[1]Map_Meso-Ox'!$C:$C,A191,'[1]Map_Meso-Ox'!$E:$E)</f>
        <v>#VALUE!</v>
      </c>
      <c r="M191" s="2" t="e">
        <f t="shared" si="5"/>
        <v>#VALUE!</v>
      </c>
    </row>
    <row r="192" spans="1:13" x14ac:dyDescent="0.25">
      <c r="A192">
        <v>81</v>
      </c>
      <c r="B192">
        <v>-1</v>
      </c>
      <c r="C192">
        <v>31.239000000000001</v>
      </c>
      <c r="D192">
        <v>2.5100000000000001E-2</v>
      </c>
      <c r="E192" t="s">
        <v>6</v>
      </c>
      <c r="F192">
        <v>1</v>
      </c>
      <c r="G192">
        <f>COUNTIF(E:E,E192)</f>
        <v>110</v>
      </c>
      <c r="H192">
        <f>COUNTIFS(E:E,E192,A:A,A192,D:D,D192)</f>
        <v>1</v>
      </c>
      <c r="I192" t="e">
        <f>SUMIF([1]Mapeamento!$J:$J,A192,[1]Mapeamento!$L:$L)</f>
        <v>#VALUE!</v>
      </c>
      <c r="J192" s="1" t="e">
        <f>SUMIF('[1]Map_Meso-Ox'!$C:$C,A192,'[1]Map_Meso-Ox'!$D:$D)</f>
        <v>#VALUE!</v>
      </c>
      <c r="K192" s="2" t="e">
        <f t="shared" si="4"/>
        <v>#VALUE!</v>
      </c>
      <c r="L192" s="1" t="e">
        <f>SUMIF('[1]Map_Meso-Ox'!$C:$C,A192,'[1]Map_Meso-Ox'!$E:$E)</f>
        <v>#VALUE!</v>
      </c>
      <c r="M192" s="2" t="e">
        <f t="shared" si="5"/>
        <v>#VALUE!</v>
      </c>
    </row>
    <row r="193" spans="1:13" x14ac:dyDescent="0.25">
      <c r="A193">
        <v>82</v>
      </c>
      <c r="B193">
        <v>-1</v>
      </c>
      <c r="C193">
        <v>27.373999999999999</v>
      </c>
      <c r="D193">
        <v>0.1106</v>
      </c>
      <c r="E193" t="s">
        <v>6</v>
      </c>
      <c r="F193">
        <v>1</v>
      </c>
      <c r="G193">
        <f>COUNTIF(E:E,E193)</f>
        <v>110</v>
      </c>
      <c r="H193">
        <f>COUNTIFS(E:E,E193,A:A,A193,D:D,D193)</f>
        <v>1</v>
      </c>
      <c r="I193" t="e">
        <f>SUMIF([1]Mapeamento!$J:$J,A193,[1]Mapeamento!$L:$L)</f>
        <v>#VALUE!</v>
      </c>
      <c r="J193" s="1" t="e">
        <f>SUMIF('[1]Map_Meso-Ox'!$C:$C,A193,'[1]Map_Meso-Ox'!$D:$D)</f>
        <v>#VALUE!</v>
      </c>
      <c r="K193" s="2" t="e">
        <f t="shared" si="4"/>
        <v>#VALUE!</v>
      </c>
      <c r="L193" s="1" t="e">
        <f>SUMIF('[1]Map_Meso-Ox'!$C:$C,A193,'[1]Map_Meso-Ox'!$E:$E)</f>
        <v>#VALUE!</v>
      </c>
      <c r="M193" s="2" t="e">
        <f t="shared" si="5"/>
        <v>#VALUE!</v>
      </c>
    </row>
    <row r="194" spans="1:13" x14ac:dyDescent="0.25">
      <c r="A194">
        <v>83</v>
      </c>
      <c r="B194">
        <v>-1</v>
      </c>
      <c r="C194">
        <v>46.981000000000002</v>
      </c>
      <c r="D194">
        <v>0</v>
      </c>
      <c r="E194" t="s">
        <v>6</v>
      </c>
      <c r="F194">
        <v>1</v>
      </c>
      <c r="G194">
        <f>COUNTIF(E:E,E194)</f>
        <v>110</v>
      </c>
      <c r="H194">
        <f>COUNTIFS(E:E,E194,A:A,A194,D:D,D194)</f>
        <v>1</v>
      </c>
      <c r="I194" t="e">
        <f>SUMIF([1]Mapeamento!$J:$J,A194,[1]Mapeamento!$L:$L)</f>
        <v>#VALUE!</v>
      </c>
      <c r="J194" s="1" t="e">
        <f>SUMIF('[1]Map_Meso-Ox'!$C:$C,A194,'[1]Map_Meso-Ox'!$D:$D)</f>
        <v>#VALUE!</v>
      </c>
      <c r="K194" s="2" t="e">
        <f t="shared" si="4"/>
        <v>#VALUE!</v>
      </c>
      <c r="L194" s="1" t="e">
        <f>SUMIF('[1]Map_Meso-Ox'!$C:$C,A194,'[1]Map_Meso-Ox'!$E:$E)</f>
        <v>#VALUE!</v>
      </c>
      <c r="M194" s="2" t="e">
        <f t="shared" si="5"/>
        <v>#VALUE!</v>
      </c>
    </row>
    <row r="195" spans="1:13" x14ac:dyDescent="0.25">
      <c r="A195">
        <v>84</v>
      </c>
      <c r="B195">
        <v>-1</v>
      </c>
      <c r="C195">
        <v>20.119</v>
      </c>
      <c r="D195">
        <v>0.28639999999999999</v>
      </c>
      <c r="E195" t="s">
        <v>6</v>
      </c>
      <c r="F195">
        <v>2</v>
      </c>
      <c r="G195">
        <f>COUNTIF(E:E,E195)</f>
        <v>110</v>
      </c>
      <c r="H195">
        <f>COUNTIFS(E:E,E195,A:A,A195,D:D,D195)</f>
        <v>1</v>
      </c>
      <c r="I195" t="e">
        <f>SUMIF([1]Mapeamento!$J:$J,A195,[1]Mapeamento!$L:$L)</f>
        <v>#VALUE!</v>
      </c>
      <c r="J195" s="1" t="e">
        <f>SUMIF('[1]Map_Meso-Ox'!$C:$C,A195,'[1]Map_Meso-Ox'!$D:$D)</f>
        <v>#VALUE!</v>
      </c>
      <c r="K195" s="2" t="e">
        <f t="shared" ref="K195:K258" si="6">J195/203401269</f>
        <v>#VALUE!</v>
      </c>
      <c r="L195" s="1" t="e">
        <f>SUMIF('[1]Map_Meso-Ox'!$C:$C,A195,'[1]Map_Meso-Ox'!$E:$E)</f>
        <v>#VALUE!</v>
      </c>
      <c r="M195" s="2" t="e">
        <f t="shared" ref="M195:M258" si="7">L195/3868725997.715</f>
        <v>#VALUE!</v>
      </c>
    </row>
    <row r="196" spans="1:13" x14ac:dyDescent="0.25">
      <c r="A196">
        <v>85</v>
      </c>
      <c r="B196">
        <v>-1</v>
      </c>
      <c r="C196">
        <v>42.582000000000001</v>
      </c>
      <c r="D196">
        <v>2.01E-2</v>
      </c>
      <c r="E196" t="s">
        <v>6</v>
      </c>
      <c r="F196">
        <v>1</v>
      </c>
      <c r="G196">
        <f>COUNTIF(E:E,E196)</f>
        <v>110</v>
      </c>
      <c r="H196">
        <f>COUNTIFS(E:E,E196,A:A,A196,D:D,D196)</f>
        <v>1</v>
      </c>
      <c r="I196" t="e">
        <f>SUMIF([1]Mapeamento!$J:$J,A196,[1]Mapeamento!$L:$L)</f>
        <v>#VALUE!</v>
      </c>
      <c r="J196" s="1" t="e">
        <f>SUMIF('[1]Map_Meso-Ox'!$C:$C,A196,'[1]Map_Meso-Ox'!$D:$D)</f>
        <v>#VALUE!</v>
      </c>
      <c r="K196" s="2" t="e">
        <f t="shared" si="6"/>
        <v>#VALUE!</v>
      </c>
      <c r="L196" s="1" t="e">
        <f>SUMIF('[1]Map_Meso-Ox'!$C:$C,A196,'[1]Map_Meso-Ox'!$E:$E)</f>
        <v>#VALUE!</v>
      </c>
      <c r="M196" s="2" t="e">
        <f t="shared" si="7"/>
        <v>#VALUE!</v>
      </c>
    </row>
    <row r="197" spans="1:13" x14ac:dyDescent="0.25">
      <c r="A197">
        <v>86</v>
      </c>
      <c r="B197">
        <v>-1</v>
      </c>
      <c r="C197">
        <v>19.821999999999999</v>
      </c>
      <c r="D197">
        <v>0.38190000000000002</v>
      </c>
      <c r="E197" t="s">
        <v>6</v>
      </c>
      <c r="F197">
        <v>1</v>
      </c>
      <c r="G197">
        <f>COUNTIF(E:E,E197)</f>
        <v>110</v>
      </c>
      <c r="H197">
        <f>COUNTIFS(E:E,E197,A:A,A197,D:D,D197)</f>
        <v>1</v>
      </c>
      <c r="I197" t="e">
        <f>SUMIF([1]Mapeamento!$J:$J,A197,[1]Mapeamento!$L:$L)</f>
        <v>#VALUE!</v>
      </c>
      <c r="J197" s="1" t="e">
        <f>SUMIF('[1]Map_Meso-Ox'!$C:$C,A197,'[1]Map_Meso-Ox'!$D:$D)</f>
        <v>#VALUE!</v>
      </c>
      <c r="K197" s="2" t="e">
        <f t="shared" si="6"/>
        <v>#VALUE!</v>
      </c>
      <c r="L197" s="1" t="e">
        <f>SUMIF('[1]Map_Meso-Ox'!$C:$C,A197,'[1]Map_Meso-Ox'!$E:$E)</f>
        <v>#VALUE!</v>
      </c>
      <c r="M197" s="2" t="e">
        <f t="shared" si="7"/>
        <v>#VALUE!</v>
      </c>
    </row>
    <row r="198" spans="1:13" x14ac:dyDescent="0.25">
      <c r="A198">
        <v>87</v>
      </c>
      <c r="B198">
        <v>-1</v>
      </c>
      <c r="C198">
        <v>26.248000000000001</v>
      </c>
      <c r="D198">
        <v>0.20100000000000001</v>
      </c>
      <c r="E198" t="s">
        <v>6</v>
      </c>
      <c r="F198">
        <v>0</v>
      </c>
      <c r="G198">
        <f>COUNTIF(E:E,E198)</f>
        <v>110</v>
      </c>
      <c r="H198">
        <f>COUNTIFS(E:E,E198,A:A,A198,D:D,D198)</f>
        <v>1</v>
      </c>
      <c r="I198" t="e">
        <f>SUMIF([1]Mapeamento!$J:$J,A198,[1]Mapeamento!$L:$L)</f>
        <v>#VALUE!</v>
      </c>
      <c r="J198" s="1" t="e">
        <f>SUMIF('[1]Map_Meso-Ox'!$C:$C,A198,'[1]Map_Meso-Ox'!$D:$D)</f>
        <v>#VALUE!</v>
      </c>
      <c r="K198" s="2" t="e">
        <f t="shared" si="6"/>
        <v>#VALUE!</v>
      </c>
      <c r="L198" s="1" t="e">
        <f>SUMIF('[1]Map_Meso-Ox'!$C:$C,A198,'[1]Map_Meso-Ox'!$E:$E)</f>
        <v>#VALUE!</v>
      </c>
      <c r="M198" s="2" t="e">
        <f t="shared" si="7"/>
        <v>#VALUE!</v>
      </c>
    </row>
    <row r="199" spans="1:13" x14ac:dyDescent="0.25">
      <c r="A199">
        <v>88</v>
      </c>
      <c r="B199">
        <v>-1</v>
      </c>
      <c r="C199">
        <v>28.297999999999998</v>
      </c>
      <c r="D199">
        <v>0.1457</v>
      </c>
      <c r="E199" t="s">
        <v>6</v>
      </c>
      <c r="F199">
        <v>0</v>
      </c>
      <c r="G199">
        <f>COUNTIF(E:E,E199)</f>
        <v>110</v>
      </c>
      <c r="H199">
        <f>COUNTIFS(E:E,E199,A:A,A199,D:D,D199)</f>
        <v>1</v>
      </c>
      <c r="I199" t="e">
        <f>SUMIF([1]Mapeamento!$J:$J,A199,[1]Mapeamento!$L:$L)</f>
        <v>#VALUE!</v>
      </c>
      <c r="J199" s="1" t="e">
        <f>SUMIF('[1]Map_Meso-Ox'!$C:$C,A199,'[1]Map_Meso-Ox'!$D:$D)</f>
        <v>#VALUE!</v>
      </c>
      <c r="K199" s="2" t="e">
        <f t="shared" si="6"/>
        <v>#VALUE!</v>
      </c>
      <c r="L199" s="1" t="e">
        <f>SUMIF('[1]Map_Meso-Ox'!$C:$C,A199,'[1]Map_Meso-Ox'!$E:$E)</f>
        <v>#VALUE!</v>
      </c>
      <c r="M199" s="2" t="e">
        <f t="shared" si="7"/>
        <v>#VALUE!</v>
      </c>
    </row>
    <row r="200" spans="1:13" x14ac:dyDescent="0.25">
      <c r="A200">
        <v>89</v>
      </c>
      <c r="B200">
        <v>-1</v>
      </c>
      <c r="C200">
        <v>49.56</v>
      </c>
      <c r="D200">
        <v>0</v>
      </c>
      <c r="E200" t="s">
        <v>6</v>
      </c>
      <c r="F200">
        <v>0</v>
      </c>
      <c r="G200">
        <f>COUNTIF(E:E,E200)</f>
        <v>110</v>
      </c>
      <c r="H200">
        <f>COUNTIFS(E:E,E200,A:A,A200,D:D,D200)</f>
        <v>1</v>
      </c>
      <c r="I200" t="e">
        <f>SUMIF([1]Mapeamento!$J:$J,A200,[1]Mapeamento!$L:$L)</f>
        <v>#VALUE!</v>
      </c>
      <c r="J200" s="1" t="e">
        <f>SUMIF('[1]Map_Meso-Ox'!$C:$C,A200,'[1]Map_Meso-Ox'!$D:$D)</f>
        <v>#VALUE!</v>
      </c>
      <c r="K200" s="2" t="e">
        <f t="shared" si="6"/>
        <v>#VALUE!</v>
      </c>
      <c r="L200" s="1" t="e">
        <f>SUMIF('[1]Map_Meso-Ox'!$C:$C,A200,'[1]Map_Meso-Ox'!$E:$E)</f>
        <v>#VALUE!</v>
      </c>
      <c r="M200" s="2" t="e">
        <f t="shared" si="7"/>
        <v>#VALUE!</v>
      </c>
    </row>
    <row r="201" spans="1:13" x14ac:dyDescent="0.25">
      <c r="A201">
        <v>90</v>
      </c>
      <c r="B201">
        <v>-1</v>
      </c>
      <c r="C201">
        <v>40.219000000000001</v>
      </c>
      <c r="D201">
        <v>2.5100000000000001E-2</v>
      </c>
      <c r="E201" t="s">
        <v>6</v>
      </c>
      <c r="F201">
        <v>1</v>
      </c>
      <c r="G201">
        <f>COUNTIF(E:E,E201)</f>
        <v>110</v>
      </c>
      <c r="H201">
        <f>COUNTIFS(E:E,E201,A:A,A201,D:D,D201)</f>
        <v>1</v>
      </c>
      <c r="I201" t="e">
        <f>SUMIF([1]Mapeamento!$J:$J,A201,[1]Mapeamento!$L:$L)</f>
        <v>#VALUE!</v>
      </c>
      <c r="J201" s="1" t="e">
        <f>SUMIF('[1]Map_Meso-Ox'!$C:$C,A201,'[1]Map_Meso-Ox'!$D:$D)</f>
        <v>#VALUE!</v>
      </c>
      <c r="K201" s="2" t="e">
        <f t="shared" si="6"/>
        <v>#VALUE!</v>
      </c>
      <c r="L201" s="1" t="e">
        <f>SUMIF('[1]Map_Meso-Ox'!$C:$C,A201,'[1]Map_Meso-Ox'!$E:$E)</f>
        <v>#VALUE!</v>
      </c>
      <c r="M201" s="2" t="e">
        <f t="shared" si="7"/>
        <v>#VALUE!</v>
      </c>
    </row>
    <row r="202" spans="1:13" x14ac:dyDescent="0.25">
      <c r="A202">
        <v>91</v>
      </c>
      <c r="B202">
        <v>-1</v>
      </c>
      <c r="C202">
        <v>48.234999999999999</v>
      </c>
      <c r="D202">
        <v>5.0000000000000001E-3</v>
      </c>
      <c r="E202" t="s">
        <v>6</v>
      </c>
      <c r="F202">
        <v>2</v>
      </c>
      <c r="G202">
        <f>COUNTIF(E:E,E202)</f>
        <v>110</v>
      </c>
      <c r="H202">
        <f>COUNTIFS(E:E,E202,A:A,A202,D:D,D202)</f>
        <v>1</v>
      </c>
      <c r="I202" t="e">
        <f>SUMIF([1]Mapeamento!$J:$J,A202,[1]Mapeamento!$L:$L)</f>
        <v>#VALUE!</v>
      </c>
      <c r="J202" s="1" t="e">
        <f>SUMIF('[1]Map_Meso-Ox'!$C:$C,A202,'[1]Map_Meso-Ox'!$D:$D)</f>
        <v>#VALUE!</v>
      </c>
      <c r="K202" s="2" t="e">
        <f t="shared" si="6"/>
        <v>#VALUE!</v>
      </c>
      <c r="L202" s="1" t="e">
        <f>SUMIF('[1]Map_Meso-Ox'!$C:$C,A202,'[1]Map_Meso-Ox'!$E:$E)</f>
        <v>#VALUE!</v>
      </c>
      <c r="M202" s="2" t="e">
        <f t="shared" si="7"/>
        <v>#VALUE!</v>
      </c>
    </row>
    <row r="203" spans="1:13" x14ac:dyDescent="0.25">
      <c r="A203">
        <v>92</v>
      </c>
      <c r="B203">
        <v>-1</v>
      </c>
      <c r="C203">
        <v>42.716000000000001</v>
      </c>
      <c r="D203">
        <v>3.0200000000000001E-2</v>
      </c>
      <c r="E203" t="s">
        <v>6</v>
      </c>
      <c r="F203">
        <v>0</v>
      </c>
      <c r="G203">
        <f>COUNTIF(E:E,E203)</f>
        <v>110</v>
      </c>
      <c r="H203">
        <f>COUNTIFS(E:E,E203,A:A,A203,D:D,D203)</f>
        <v>1</v>
      </c>
      <c r="I203" t="e">
        <f>SUMIF([1]Mapeamento!$J:$J,A203,[1]Mapeamento!$L:$L)</f>
        <v>#VALUE!</v>
      </c>
      <c r="J203" s="1" t="e">
        <f>SUMIF('[1]Map_Meso-Ox'!$C:$C,A203,'[1]Map_Meso-Ox'!$D:$D)</f>
        <v>#VALUE!</v>
      </c>
      <c r="K203" s="2" t="e">
        <f t="shared" si="6"/>
        <v>#VALUE!</v>
      </c>
      <c r="L203" s="1" t="e">
        <f>SUMIF('[1]Map_Meso-Ox'!$C:$C,A203,'[1]Map_Meso-Ox'!$E:$E)</f>
        <v>#VALUE!</v>
      </c>
      <c r="M203" s="2" t="e">
        <f t="shared" si="7"/>
        <v>#VALUE!</v>
      </c>
    </row>
    <row r="204" spans="1:13" x14ac:dyDescent="0.25">
      <c r="A204">
        <v>93</v>
      </c>
      <c r="B204">
        <v>-1</v>
      </c>
      <c r="C204">
        <v>43.985999999999997</v>
      </c>
      <c r="D204">
        <v>5.5300000000000002E-2</v>
      </c>
      <c r="E204" t="s">
        <v>6</v>
      </c>
      <c r="F204">
        <v>0</v>
      </c>
      <c r="G204">
        <f>COUNTIF(E:E,E204)</f>
        <v>110</v>
      </c>
      <c r="H204">
        <f>COUNTIFS(E:E,E204,A:A,A204,D:D,D204)</f>
        <v>1</v>
      </c>
      <c r="I204" t="e">
        <f>SUMIF([1]Mapeamento!$J:$J,A204,[1]Mapeamento!$L:$L)</f>
        <v>#VALUE!</v>
      </c>
      <c r="J204" s="1" t="e">
        <f>SUMIF('[1]Map_Meso-Ox'!$C:$C,A204,'[1]Map_Meso-Ox'!$D:$D)</f>
        <v>#VALUE!</v>
      </c>
      <c r="K204" s="2" t="e">
        <f t="shared" si="6"/>
        <v>#VALUE!</v>
      </c>
      <c r="L204" s="1" t="e">
        <f>SUMIF('[1]Map_Meso-Ox'!$C:$C,A204,'[1]Map_Meso-Ox'!$E:$E)</f>
        <v>#VALUE!</v>
      </c>
      <c r="M204" s="2" t="e">
        <f t="shared" si="7"/>
        <v>#VALUE!</v>
      </c>
    </row>
    <row r="205" spans="1:13" x14ac:dyDescent="0.25">
      <c r="A205">
        <v>94</v>
      </c>
      <c r="B205">
        <v>-1</v>
      </c>
      <c r="C205">
        <v>44.216000000000001</v>
      </c>
      <c r="D205">
        <v>1.01E-2</v>
      </c>
      <c r="E205" t="s">
        <v>6</v>
      </c>
      <c r="F205">
        <v>2</v>
      </c>
      <c r="G205">
        <f>COUNTIF(E:E,E205)</f>
        <v>110</v>
      </c>
      <c r="H205">
        <f>COUNTIFS(E:E,E205,A:A,A205,D:D,D205)</f>
        <v>1</v>
      </c>
      <c r="I205" t="e">
        <f>SUMIF([1]Mapeamento!$J:$J,A205,[1]Mapeamento!$L:$L)</f>
        <v>#VALUE!</v>
      </c>
      <c r="J205" s="1" t="e">
        <f>SUMIF('[1]Map_Meso-Ox'!$C:$C,A205,'[1]Map_Meso-Ox'!$D:$D)</f>
        <v>#VALUE!</v>
      </c>
      <c r="K205" s="2" t="e">
        <f t="shared" si="6"/>
        <v>#VALUE!</v>
      </c>
      <c r="L205" s="1" t="e">
        <f>SUMIF('[1]Map_Meso-Ox'!$C:$C,A205,'[1]Map_Meso-Ox'!$E:$E)</f>
        <v>#VALUE!</v>
      </c>
      <c r="M205" s="2" t="e">
        <f t="shared" si="7"/>
        <v>#VALUE!</v>
      </c>
    </row>
    <row r="206" spans="1:13" x14ac:dyDescent="0.25">
      <c r="A206">
        <v>95</v>
      </c>
      <c r="B206">
        <v>-1</v>
      </c>
      <c r="C206">
        <v>21.71</v>
      </c>
      <c r="D206">
        <v>0.33169999999999999</v>
      </c>
      <c r="E206" t="s">
        <v>6</v>
      </c>
      <c r="F206">
        <v>0</v>
      </c>
      <c r="G206">
        <f>COUNTIF(E:E,E206)</f>
        <v>110</v>
      </c>
      <c r="H206">
        <f>COUNTIFS(E:E,E206,A:A,A206,D:D,D206)</f>
        <v>1</v>
      </c>
      <c r="I206" t="e">
        <f>SUMIF([1]Mapeamento!$J:$J,A206,[1]Mapeamento!$L:$L)</f>
        <v>#VALUE!</v>
      </c>
      <c r="J206" s="1" t="e">
        <f>SUMIF('[1]Map_Meso-Ox'!$C:$C,A206,'[1]Map_Meso-Ox'!$D:$D)</f>
        <v>#VALUE!</v>
      </c>
      <c r="K206" s="2" t="e">
        <f t="shared" si="6"/>
        <v>#VALUE!</v>
      </c>
      <c r="L206" s="1" t="e">
        <f>SUMIF('[1]Map_Meso-Ox'!$C:$C,A206,'[1]Map_Meso-Ox'!$E:$E)</f>
        <v>#VALUE!</v>
      </c>
      <c r="M206" s="2" t="e">
        <f t="shared" si="7"/>
        <v>#VALUE!</v>
      </c>
    </row>
    <row r="207" spans="1:13" x14ac:dyDescent="0.25">
      <c r="A207">
        <v>96</v>
      </c>
      <c r="B207">
        <v>-1</v>
      </c>
      <c r="C207">
        <v>23.984000000000002</v>
      </c>
      <c r="D207">
        <v>0.30649999999999999</v>
      </c>
      <c r="E207" t="s">
        <v>6</v>
      </c>
      <c r="F207">
        <v>0</v>
      </c>
      <c r="G207">
        <f>COUNTIF(E:E,E207)</f>
        <v>110</v>
      </c>
      <c r="H207">
        <f>COUNTIFS(E:E,E207,A:A,A207,D:D,D207)</f>
        <v>1</v>
      </c>
      <c r="I207" t="e">
        <f>SUMIF([1]Mapeamento!$J:$J,A207,[1]Mapeamento!$L:$L)</f>
        <v>#VALUE!</v>
      </c>
      <c r="J207" s="1" t="e">
        <f>SUMIF('[1]Map_Meso-Ox'!$C:$C,A207,'[1]Map_Meso-Ox'!$D:$D)</f>
        <v>#VALUE!</v>
      </c>
      <c r="K207" s="2" t="e">
        <f t="shared" si="6"/>
        <v>#VALUE!</v>
      </c>
      <c r="L207" s="1" t="e">
        <f>SUMIF('[1]Map_Meso-Ox'!$C:$C,A207,'[1]Map_Meso-Ox'!$E:$E)</f>
        <v>#VALUE!</v>
      </c>
      <c r="M207" s="2" t="e">
        <f t="shared" si="7"/>
        <v>#VALUE!</v>
      </c>
    </row>
    <row r="208" spans="1:13" x14ac:dyDescent="0.25">
      <c r="A208">
        <v>97</v>
      </c>
      <c r="B208">
        <v>-1</v>
      </c>
      <c r="C208">
        <v>23.63</v>
      </c>
      <c r="D208">
        <v>0.1608</v>
      </c>
      <c r="E208" t="s">
        <v>6</v>
      </c>
      <c r="F208">
        <v>1</v>
      </c>
      <c r="G208">
        <f>COUNTIF(E:E,E208)</f>
        <v>110</v>
      </c>
      <c r="H208">
        <f>COUNTIFS(E:E,E208,A:A,A208,D:D,D208)</f>
        <v>1</v>
      </c>
      <c r="I208" t="e">
        <f>SUMIF([1]Mapeamento!$J:$J,A208,[1]Mapeamento!$L:$L)</f>
        <v>#VALUE!</v>
      </c>
      <c r="J208" s="1" t="e">
        <f>SUMIF('[1]Map_Meso-Ox'!$C:$C,A208,'[1]Map_Meso-Ox'!$D:$D)</f>
        <v>#VALUE!</v>
      </c>
      <c r="K208" s="2" t="e">
        <f t="shared" si="6"/>
        <v>#VALUE!</v>
      </c>
      <c r="L208" s="1" t="e">
        <f>SUMIF('[1]Map_Meso-Ox'!$C:$C,A208,'[1]Map_Meso-Ox'!$E:$E)</f>
        <v>#VALUE!</v>
      </c>
      <c r="M208" s="2" t="e">
        <f t="shared" si="7"/>
        <v>#VALUE!</v>
      </c>
    </row>
    <row r="209" spans="1:13" x14ac:dyDescent="0.25">
      <c r="A209">
        <v>98</v>
      </c>
      <c r="B209">
        <v>-1</v>
      </c>
      <c r="C209">
        <v>37.06</v>
      </c>
      <c r="D209">
        <v>6.5299999999999997E-2</v>
      </c>
      <c r="E209" t="s">
        <v>6</v>
      </c>
      <c r="F209">
        <v>0</v>
      </c>
      <c r="G209">
        <f>COUNTIF(E:E,E209)</f>
        <v>110</v>
      </c>
      <c r="H209">
        <f>COUNTIFS(E:E,E209,A:A,A209,D:D,D209)</f>
        <v>1</v>
      </c>
      <c r="I209" t="e">
        <f>SUMIF([1]Mapeamento!$J:$J,A209,[1]Mapeamento!$L:$L)</f>
        <v>#VALUE!</v>
      </c>
      <c r="J209" s="1" t="e">
        <f>SUMIF('[1]Map_Meso-Ox'!$C:$C,A209,'[1]Map_Meso-Ox'!$D:$D)</f>
        <v>#VALUE!</v>
      </c>
      <c r="K209" s="2" t="e">
        <f t="shared" si="6"/>
        <v>#VALUE!</v>
      </c>
      <c r="L209" s="1" t="e">
        <f>SUMIF('[1]Map_Meso-Ox'!$C:$C,A209,'[1]Map_Meso-Ox'!$E:$E)</f>
        <v>#VALUE!</v>
      </c>
      <c r="M209" s="2" t="e">
        <f t="shared" si="7"/>
        <v>#VALUE!</v>
      </c>
    </row>
    <row r="210" spans="1:13" x14ac:dyDescent="0.25">
      <c r="A210">
        <v>99</v>
      </c>
      <c r="B210">
        <v>-1</v>
      </c>
      <c r="C210">
        <v>44.085000000000001</v>
      </c>
      <c r="D210">
        <v>1.5100000000000001E-2</v>
      </c>
      <c r="E210" t="s">
        <v>6</v>
      </c>
      <c r="F210">
        <v>1</v>
      </c>
      <c r="G210">
        <f>COUNTIF(E:E,E210)</f>
        <v>110</v>
      </c>
      <c r="H210">
        <f>COUNTIFS(E:E,E210,A:A,A210,D:D,D210)</f>
        <v>1</v>
      </c>
      <c r="I210" t="e">
        <f>SUMIF([1]Mapeamento!$J:$J,A210,[1]Mapeamento!$L:$L)</f>
        <v>#VALUE!</v>
      </c>
      <c r="J210" s="1" t="e">
        <f>SUMIF('[1]Map_Meso-Ox'!$C:$C,A210,'[1]Map_Meso-Ox'!$D:$D)</f>
        <v>#VALUE!</v>
      </c>
      <c r="K210" s="2" t="e">
        <f t="shared" si="6"/>
        <v>#VALUE!</v>
      </c>
      <c r="L210" s="1" t="e">
        <f>SUMIF('[1]Map_Meso-Ox'!$C:$C,A210,'[1]Map_Meso-Ox'!$E:$E)</f>
        <v>#VALUE!</v>
      </c>
      <c r="M210" s="2" t="e">
        <f t="shared" si="7"/>
        <v>#VALUE!</v>
      </c>
    </row>
    <row r="211" spans="1:13" x14ac:dyDescent="0.25">
      <c r="A211">
        <v>100</v>
      </c>
      <c r="B211">
        <v>-1</v>
      </c>
      <c r="C211">
        <v>44.311</v>
      </c>
      <c r="D211">
        <v>5.0000000000000001E-3</v>
      </c>
      <c r="E211" t="s">
        <v>6</v>
      </c>
      <c r="F211">
        <v>2</v>
      </c>
      <c r="G211">
        <f>COUNTIF(E:E,E211)</f>
        <v>110</v>
      </c>
      <c r="H211">
        <f>COUNTIFS(E:E,E211,A:A,A211,D:D,D211)</f>
        <v>1</v>
      </c>
      <c r="I211" t="e">
        <f>SUMIF([1]Mapeamento!$J:$J,A211,[1]Mapeamento!$L:$L)</f>
        <v>#VALUE!</v>
      </c>
      <c r="J211" s="1" t="e">
        <f>SUMIF('[1]Map_Meso-Ox'!$C:$C,A211,'[1]Map_Meso-Ox'!$D:$D)</f>
        <v>#VALUE!</v>
      </c>
      <c r="K211" s="2" t="e">
        <f t="shared" si="6"/>
        <v>#VALUE!</v>
      </c>
      <c r="L211" s="1" t="e">
        <f>SUMIF('[1]Map_Meso-Ox'!$C:$C,A211,'[1]Map_Meso-Ox'!$E:$E)</f>
        <v>#VALUE!</v>
      </c>
      <c r="M211" s="2" t="e">
        <f t="shared" si="7"/>
        <v>#VALUE!</v>
      </c>
    </row>
    <row r="212" spans="1:13" x14ac:dyDescent="0.25">
      <c r="A212">
        <v>101</v>
      </c>
      <c r="B212">
        <v>-1</v>
      </c>
      <c r="C212">
        <v>65.331999999999994</v>
      </c>
      <c r="D212">
        <v>0</v>
      </c>
      <c r="E212" t="s">
        <v>6</v>
      </c>
      <c r="F212">
        <v>2</v>
      </c>
      <c r="G212">
        <f>COUNTIF(E:E,E212)</f>
        <v>110</v>
      </c>
      <c r="H212">
        <f>COUNTIFS(E:E,E212,A:A,A212,D:D,D212)</f>
        <v>1</v>
      </c>
      <c r="I212" t="e">
        <f>SUMIF([1]Mapeamento!$J:$J,A212,[1]Mapeamento!$L:$L)</f>
        <v>#VALUE!</v>
      </c>
      <c r="J212" s="1" t="e">
        <f>SUMIF('[1]Map_Meso-Ox'!$C:$C,A212,'[1]Map_Meso-Ox'!$D:$D)</f>
        <v>#VALUE!</v>
      </c>
      <c r="K212" s="2" t="e">
        <f t="shared" si="6"/>
        <v>#VALUE!</v>
      </c>
      <c r="L212" s="1" t="e">
        <f>SUMIF('[1]Map_Meso-Ox'!$C:$C,A212,'[1]Map_Meso-Ox'!$E:$E)</f>
        <v>#VALUE!</v>
      </c>
      <c r="M212" s="2" t="e">
        <f t="shared" si="7"/>
        <v>#VALUE!</v>
      </c>
    </row>
    <row r="213" spans="1:13" x14ac:dyDescent="0.25">
      <c r="A213">
        <v>102</v>
      </c>
      <c r="B213">
        <v>-1</v>
      </c>
      <c r="C213">
        <v>40.073</v>
      </c>
      <c r="D213">
        <v>3.0200000000000001E-2</v>
      </c>
      <c r="E213" t="s">
        <v>6</v>
      </c>
      <c r="F213">
        <v>0</v>
      </c>
      <c r="G213">
        <f>COUNTIF(E:E,E213)</f>
        <v>110</v>
      </c>
      <c r="H213">
        <f>COUNTIFS(E:E,E213,A:A,A213,D:D,D213)</f>
        <v>1</v>
      </c>
      <c r="I213" t="e">
        <f>SUMIF([1]Mapeamento!$J:$J,A213,[1]Mapeamento!$L:$L)</f>
        <v>#VALUE!</v>
      </c>
      <c r="J213" s="1" t="e">
        <f>SUMIF('[1]Map_Meso-Ox'!$C:$C,A213,'[1]Map_Meso-Ox'!$D:$D)</f>
        <v>#VALUE!</v>
      </c>
      <c r="K213" s="2" t="e">
        <f t="shared" si="6"/>
        <v>#VALUE!</v>
      </c>
      <c r="L213" s="1" t="e">
        <f>SUMIF('[1]Map_Meso-Ox'!$C:$C,A213,'[1]Map_Meso-Ox'!$E:$E)</f>
        <v>#VALUE!</v>
      </c>
      <c r="M213" s="2" t="e">
        <f t="shared" si="7"/>
        <v>#VALUE!</v>
      </c>
    </row>
    <row r="214" spans="1:13" x14ac:dyDescent="0.25">
      <c r="A214">
        <v>103</v>
      </c>
      <c r="B214">
        <v>-1</v>
      </c>
      <c r="C214">
        <v>52.109000000000002</v>
      </c>
      <c r="D214">
        <v>1.5100000000000001E-2</v>
      </c>
      <c r="E214" t="s">
        <v>6</v>
      </c>
      <c r="F214">
        <v>1</v>
      </c>
      <c r="G214">
        <f>COUNTIF(E:E,E214)</f>
        <v>110</v>
      </c>
      <c r="H214">
        <f>COUNTIFS(E:E,E214,A:A,A214,D:D,D214)</f>
        <v>1</v>
      </c>
      <c r="I214" t="e">
        <f>SUMIF([1]Mapeamento!$J:$J,A214,[1]Mapeamento!$L:$L)</f>
        <v>#VALUE!</v>
      </c>
      <c r="J214" s="1" t="e">
        <f>SUMIF('[1]Map_Meso-Ox'!$C:$C,A214,'[1]Map_Meso-Ox'!$D:$D)</f>
        <v>#VALUE!</v>
      </c>
      <c r="K214" s="2" t="e">
        <f t="shared" si="6"/>
        <v>#VALUE!</v>
      </c>
      <c r="L214" s="1" t="e">
        <f>SUMIF('[1]Map_Meso-Ox'!$C:$C,A214,'[1]Map_Meso-Ox'!$E:$E)</f>
        <v>#VALUE!</v>
      </c>
      <c r="M214" s="2" t="e">
        <f t="shared" si="7"/>
        <v>#VALUE!</v>
      </c>
    </row>
    <row r="215" spans="1:13" x14ac:dyDescent="0.25">
      <c r="A215">
        <v>104</v>
      </c>
      <c r="B215">
        <v>-1</v>
      </c>
      <c r="C215">
        <v>35.601999999999997</v>
      </c>
      <c r="D215">
        <v>5.5300000000000002E-2</v>
      </c>
      <c r="E215" t="s">
        <v>6</v>
      </c>
      <c r="F215">
        <v>1</v>
      </c>
      <c r="G215">
        <f>COUNTIF(E:E,E215)</f>
        <v>110</v>
      </c>
      <c r="H215">
        <f>COUNTIFS(E:E,E215,A:A,A215,D:D,D215)</f>
        <v>1</v>
      </c>
      <c r="I215" t="e">
        <f>SUMIF([1]Mapeamento!$J:$J,A215,[1]Mapeamento!$L:$L)</f>
        <v>#VALUE!</v>
      </c>
      <c r="J215" s="1" t="e">
        <f>SUMIF('[1]Map_Meso-Ox'!$C:$C,A215,'[1]Map_Meso-Ox'!$D:$D)</f>
        <v>#VALUE!</v>
      </c>
      <c r="K215" s="2" t="e">
        <f t="shared" si="6"/>
        <v>#VALUE!</v>
      </c>
      <c r="L215" s="1" t="e">
        <f>SUMIF('[1]Map_Meso-Ox'!$C:$C,A215,'[1]Map_Meso-Ox'!$E:$E)</f>
        <v>#VALUE!</v>
      </c>
      <c r="M215" s="2" t="e">
        <f t="shared" si="7"/>
        <v>#VALUE!</v>
      </c>
    </row>
    <row r="216" spans="1:13" x14ac:dyDescent="0.25">
      <c r="A216">
        <v>105</v>
      </c>
      <c r="B216">
        <v>-1</v>
      </c>
      <c r="C216">
        <v>37.459000000000003</v>
      </c>
      <c r="D216">
        <v>1.01E-2</v>
      </c>
      <c r="E216" t="s">
        <v>6</v>
      </c>
      <c r="F216">
        <v>2</v>
      </c>
      <c r="G216">
        <f>COUNTIF(E:E,E216)</f>
        <v>110</v>
      </c>
      <c r="H216">
        <f>COUNTIFS(E:E,E216,A:A,A216,D:D,D216)</f>
        <v>1</v>
      </c>
      <c r="I216" t="e">
        <f>SUMIF([1]Mapeamento!$J:$J,A216,[1]Mapeamento!$L:$L)</f>
        <v>#VALUE!</v>
      </c>
      <c r="J216" s="1" t="e">
        <f>SUMIF('[1]Map_Meso-Ox'!$C:$C,A216,'[1]Map_Meso-Ox'!$D:$D)</f>
        <v>#VALUE!</v>
      </c>
      <c r="K216" s="2" t="e">
        <f t="shared" si="6"/>
        <v>#VALUE!</v>
      </c>
      <c r="L216" s="1" t="e">
        <f>SUMIF('[1]Map_Meso-Ox'!$C:$C,A216,'[1]Map_Meso-Ox'!$E:$E)</f>
        <v>#VALUE!</v>
      </c>
      <c r="M216" s="2" t="e">
        <f t="shared" si="7"/>
        <v>#VALUE!</v>
      </c>
    </row>
    <row r="217" spans="1:13" x14ac:dyDescent="0.25">
      <c r="A217">
        <v>106</v>
      </c>
      <c r="B217">
        <v>-1</v>
      </c>
      <c r="C217">
        <v>24.484000000000002</v>
      </c>
      <c r="D217">
        <v>0.1055</v>
      </c>
      <c r="E217" t="s">
        <v>6</v>
      </c>
      <c r="F217">
        <v>2</v>
      </c>
      <c r="G217">
        <f>COUNTIF(E:E,E217)</f>
        <v>110</v>
      </c>
      <c r="H217">
        <f>COUNTIFS(E:E,E217,A:A,A217,D:D,D217)</f>
        <v>1</v>
      </c>
      <c r="I217" t="e">
        <f>SUMIF([1]Mapeamento!$J:$J,A217,[1]Mapeamento!$L:$L)</f>
        <v>#VALUE!</v>
      </c>
      <c r="J217" s="1" t="e">
        <f>SUMIF('[1]Map_Meso-Ox'!$C:$C,A217,'[1]Map_Meso-Ox'!$D:$D)</f>
        <v>#VALUE!</v>
      </c>
      <c r="K217" s="2" t="e">
        <f t="shared" si="6"/>
        <v>#VALUE!</v>
      </c>
      <c r="L217" s="1" t="e">
        <f>SUMIF('[1]Map_Meso-Ox'!$C:$C,A217,'[1]Map_Meso-Ox'!$E:$E)</f>
        <v>#VALUE!</v>
      </c>
      <c r="M217" s="2" t="e">
        <f t="shared" si="7"/>
        <v>#VALUE!</v>
      </c>
    </row>
    <row r="218" spans="1:13" x14ac:dyDescent="0.25">
      <c r="A218">
        <v>107</v>
      </c>
      <c r="B218">
        <v>-1</v>
      </c>
      <c r="C218">
        <v>43.395000000000003</v>
      </c>
      <c r="D218">
        <v>1.01E-2</v>
      </c>
      <c r="E218" t="s">
        <v>6</v>
      </c>
      <c r="F218">
        <v>1</v>
      </c>
      <c r="G218">
        <f>COUNTIF(E:E,E218)</f>
        <v>110</v>
      </c>
      <c r="H218">
        <f>COUNTIFS(E:E,E218,A:A,A218,D:D,D218)</f>
        <v>1</v>
      </c>
      <c r="I218" t="e">
        <f>SUMIF([1]Mapeamento!$J:$J,A218,[1]Mapeamento!$L:$L)</f>
        <v>#VALUE!</v>
      </c>
      <c r="J218" s="1" t="e">
        <f>SUMIF('[1]Map_Meso-Ox'!$C:$C,A218,'[1]Map_Meso-Ox'!$D:$D)</f>
        <v>#VALUE!</v>
      </c>
      <c r="K218" s="2" t="e">
        <f t="shared" si="6"/>
        <v>#VALUE!</v>
      </c>
      <c r="L218" s="1" t="e">
        <f>SUMIF('[1]Map_Meso-Ox'!$C:$C,A218,'[1]Map_Meso-Ox'!$E:$E)</f>
        <v>#VALUE!</v>
      </c>
      <c r="M218" s="2" t="e">
        <f t="shared" si="7"/>
        <v>#VALUE!</v>
      </c>
    </row>
    <row r="219" spans="1:13" x14ac:dyDescent="0.25">
      <c r="A219">
        <v>108</v>
      </c>
      <c r="B219">
        <v>-1</v>
      </c>
      <c r="C219">
        <v>48.542000000000002</v>
      </c>
      <c r="D219">
        <v>0</v>
      </c>
      <c r="E219" t="s">
        <v>6</v>
      </c>
      <c r="F219">
        <v>1</v>
      </c>
      <c r="G219">
        <f>COUNTIF(E:E,E219)</f>
        <v>110</v>
      </c>
      <c r="H219">
        <f>COUNTIFS(E:E,E219,A:A,A219,D:D,D219)</f>
        <v>1</v>
      </c>
      <c r="I219" t="e">
        <f>SUMIF([1]Mapeamento!$J:$J,A219,[1]Mapeamento!$L:$L)</f>
        <v>#VALUE!</v>
      </c>
      <c r="J219" s="1" t="e">
        <f>SUMIF('[1]Map_Meso-Ox'!$C:$C,A219,'[1]Map_Meso-Ox'!$D:$D)</f>
        <v>#VALUE!</v>
      </c>
      <c r="K219" s="2" t="e">
        <f t="shared" si="6"/>
        <v>#VALUE!</v>
      </c>
      <c r="L219" s="1" t="e">
        <f>SUMIF('[1]Map_Meso-Ox'!$C:$C,A219,'[1]Map_Meso-Ox'!$E:$E)</f>
        <v>#VALUE!</v>
      </c>
      <c r="M219" s="2" t="e">
        <f t="shared" si="7"/>
        <v>#VALUE!</v>
      </c>
    </row>
    <row r="220" spans="1:13" x14ac:dyDescent="0.25">
      <c r="A220">
        <v>109</v>
      </c>
      <c r="B220">
        <v>-1</v>
      </c>
      <c r="C220">
        <v>35.886000000000003</v>
      </c>
      <c r="D220">
        <v>2.5100000000000001E-2</v>
      </c>
      <c r="E220" t="s">
        <v>6</v>
      </c>
      <c r="F220">
        <v>1</v>
      </c>
      <c r="G220">
        <f>COUNTIF(E:E,E220)</f>
        <v>110</v>
      </c>
      <c r="H220">
        <f>COUNTIFS(E:E,E220,A:A,A220,D:D,D220)</f>
        <v>1</v>
      </c>
      <c r="I220" t="e">
        <f>SUMIF([1]Mapeamento!$J:$J,A220,[1]Mapeamento!$L:$L)</f>
        <v>#VALUE!</v>
      </c>
      <c r="J220" s="1" t="e">
        <f>SUMIF('[1]Map_Meso-Ox'!$C:$C,A220,'[1]Map_Meso-Ox'!$D:$D)</f>
        <v>#VALUE!</v>
      </c>
      <c r="K220" s="2" t="e">
        <f t="shared" si="6"/>
        <v>#VALUE!</v>
      </c>
      <c r="L220" s="1" t="e">
        <f>SUMIF('[1]Map_Meso-Ox'!$C:$C,A220,'[1]Map_Meso-Ox'!$E:$E)</f>
        <v>#VALUE!</v>
      </c>
      <c r="M220" s="2" t="e">
        <f t="shared" si="7"/>
        <v>#VALUE!</v>
      </c>
    </row>
    <row r="221" spans="1:13" x14ac:dyDescent="0.25">
      <c r="A221">
        <v>110</v>
      </c>
      <c r="B221">
        <v>-1</v>
      </c>
      <c r="C221">
        <v>51.423000000000002</v>
      </c>
      <c r="D221">
        <v>0</v>
      </c>
      <c r="E221" t="s">
        <v>6</v>
      </c>
      <c r="F221">
        <v>2</v>
      </c>
      <c r="G221">
        <f>COUNTIF(E:E,E221)</f>
        <v>110</v>
      </c>
      <c r="H221">
        <f>COUNTIFS(E:E,E221,A:A,A221,D:D,D221)</f>
        <v>1</v>
      </c>
      <c r="I221" t="e">
        <f>SUMIF([1]Mapeamento!$J:$J,A221,[1]Mapeamento!$L:$L)</f>
        <v>#VALUE!</v>
      </c>
      <c r="J221" s="1" t="e">
        <f>SUMIF('[1]Map_Meso-Ox'!$C:$C,A221,'[1]Map_Meso-Ox'!$D:$D)</f>
        <v>#VALUE!</v>
      </c>
      <c r="K221" s="2" t="e">
        <f t="shared" si="6"/>
        <v>#VALUE!</v>
      </c>
      <c r="L221" s="1" t="e">
        <f>SUMIF('[1]Map_Meso-Ox'!$C:$C,A221,'[1]Map_Meso-Ox'!$E:$E)</f>
        <v>#VALUE!</v>
      </c>
      <c r="M221" s="2" t="e">
        <f t="shared" si="7"/>
        <v>#VALUE!</v>
      </c>
    </row>
    <row r="222" spans="1:13" x14ac:dyDescent="0.25">
      <c r="A222">
        <v>1</v>
      </c>
      <c r="B222">
        <v>2</v>
      </c>
      <c r="C222">
        <v>31.302</v>
      </c>
      <c r="D222">
        <v>5.5300000000000002E-2</v>
      </c>
      <c r="E222" t="s">
        <v>7</v>
      </c>
      <c r="F222">
        <v>2</v>
      </c>
      <c r="G222">
        <f>COUNTIF(E:E,E222)</f>
        <v>110</v>
      </c>
      <c r="H222">
        <f>COUNTIFS(E:E,E222,A:A,A222,D:D,D222)</f>
        <v>1</v>
      </c>
      <c r="I222" t="e">
        <f>SUMIF([1]Mapeamento!$J:$J,A222,[1]Mapeamento!$L:$L)</f>
        <v>#VALUE!</v>
      </c>
      <c r="J222" s="1" t="e">
        <f>SUMIF('[1]Map_Meso-Ox'!$C:$C,A222,'[1]Map_Meso-Ox'!$D:$D)</f>
        <v>#VALUE!</v>
      </c>
      <c r="K222" s="2" t="e">
        <f t="shared" si="6"/>
        <v>#VALUE!</v>
      </c>
      <c r="L222" s="1" t="e">
        <f>SUMIF('[1]Map_Meso-Ox'!$C:$C,A222,'[1]Map_Meso-Ox'!$E:$E)</f>
        <v>#VALUE!</v>
      </c>
      <c r="M222" s="2" t="e">
        <f t="shared" si="7"/>
        <v>#VALUE!</v>
      </c>
    </row>
    <row r="223" spans="1:13" x14ac:dyDescent="0.25">
      <c r="A223">
        <v>2</v>
      </c>
      <c r="B223">
        <v>2</v>
      </c>
      <c r="C223">
        <v>54.067</v>
      </c>
      <c r="D223">
        <v>0</v>
      </c>
      <c r="E223" t="s">
        <v>7</v>
      </c>
      <c r="F223">
        <v>2</v>
      </c>
      <c r="G223">
        <f>COUNTIF(E:E,E223)</f>
        <v>110</v>
      </c>
      <c r="H223">
        <f>COUNTIFS(E:E,E223,A:A,A223,D:D,D223)</f>
        <v>1</v>
      </c>
      <c r="I223" t="e">
        <f>SUMIF([1]Mapeamento!$J:$J,A223,[1]Mapeamento!$L:$L)</f>
        <v>#VALUE!</v>
      </c>
      <c r="J223" s="1" t="e">
        <f>SUMIF('[1]Map_Meso-Ox'!$C:$C,A223,'[1]Map_Meso-Ox'!$D:$D)</f>
        <v>#VALUE!</v>
      </c>
      <c r="K223" s="2" t="e">
        <f t="shared" si="6"/>
        <v>#VALUE!</v>
      </c>
      <c r="L223" s="1" t="e">
        <f>SUMIF('[1]Map_Meso-Ox'!$C:$C,A223,'[1]Map_Meso-Ox'!$E:$E)</f>
        <v>#VALUE!</v>
      </c>
      <c r="M223" s="2" t="e">
        <f t="shared" si="7"/>
        <v>#VALUE!</v>
      </c>
    </row>
    <row r="224" spans="1:13" x14ac:dyDescent="0.25">
      <c r="A224">
        <v>3</v>
      </c>
      <c r="B224">
        <v>2</v>
      </c>
      <c r="C224">
        <v>18.256</v>
      </c>
      <c r="D224">
        <v>0.50249999999999995</v>
      </c>
      <c r="E224" t="s">
        <v>7</v>
      </c>
      <c r="F224">
        <v>1</v>
      </c>
      <c r="G224">
        <f>COUNTIF(E:E,E224)</f>
        <v>110</v>
      </c>
      <c r="H224">
        <f>COUNTIFS(E:E,E224,A:A,A224,D:D,D224)</f>
        <v>1</v>
      </c>
      <c r="I224" t="e">
        <f>SUMIF([1]Mapeamento!$J:$J,A224,[1]Mapeamento!$L:$L)</f>
        <v>#VALUE!</v>
      </c>
      <c r="J224" s="1" t="e">
        <f>SUMIF('[1]Map_Meso-Ox'!$C:$C,A224,'[1]Map_Meso-Ox'!$D:$D)</f>
        <v>#VALUE!</v>
      </c>
      <c r="K224" s="2" t="e">
        <f t="shared" si="6"/>
        <v>#VALUE!</v>
      </c>
      <c r="L224" s="1" t="e">
        <f>SUMIF('[1]Map_Meso-Ox'!$C:$C,A224,'[1]Map_Meso-Ox'!$E:$E)</f>
        <v>#VALUE!</v>
      </c>
      <c r="M224" s="2" t="e">
        <f t="shared" si="7"/>
        <v>#VALUE!</v>
      </c>
    </row>
    <row r="225" spans="1:13" x14ac:dyDescent="0.25">
      <c r="A225">
        <v>4</v>
      </c>
      <c r="B225">
        <v>2</v>
      </c>
      <c r="C225">
        <v>10.932</v>
      </c>
      <c r="D225">
        <v>0.86429999999999996</v>
      </c>
      <c r="E225" t="s">
        <v>7</v>
      </c>
      <c r="F225">
        <v>1</v>
      </c>
      <c r="G225">
        <f>COUNTIF(E:E,E225)</f>
        <v>110</v>
      </c>
      <c r="H225">
        <f>COUNTIFS(E:E,E225,A:A,A225,D:D,D225)</f>
        <v>1</v>
      </c>
      <c r="I225" t="e">
        <f>SUMIF([1]Mapeamento!$J:$J,A225,[1]Mapeamento!$L:$L)</f>
        <v>#VALUE!</v>
      </c>
      <c r="J225" s="1" t="e">
        <f>SUMIF('[1]Map_Meso-Ox'!$C:$C,A225,'[1]Map_Meso-Ox'!$D:$D)</f>
        <v>#VALUE!</v>
      </c>
      <c r="K225" s="2" t="e">
        <f t="shared" si="6"/>
        <v>#VALUE!</v>
      </c>
      <c r="L225" s="1" t="e">
        <f>SUMIF('[1]Map_Meso-Ox'!$C:$C,A225,'[1]Map_Meso-Ox'!$E:$E)</f>
        <v>#VALUE!</v>
      </c>
      <c r="M225" s="2" t="e">
        <f t="shared" si="7"/>
        <v>#VALUE!</v>
      </c>
    </row>
    <row r="226" spans="1:13" x14ac:dyDescent="0.25">
      <c r="A226">
        <v>5</v>
      </c>
      <c r="B226">
        <v>2</v>
      </c>
      <c r="C226">
        <v>24.51</v>
      </c>
      <c r="D226">
        <v>0.3417</v>
      </c>
      <c r="E226" t="s">
        <v>7</v>
      </c>
      <c r="F226">
        <v>0</v>
      </c>
      <c r="G226">
        <f>COUNTIF(E:E,E226)</f>
        <v>110</v>
      </c>
      <c r="H226">
        <f>COUNTIFS(E:E,E226,A:A,A226,D:D,D226)</f>
        <v>1</v>
      </c>
      <c r="I226" t="e">
        <f>SUMIF([1]Mapeamento!$J:$J,A226,[1]Mapeamento!$L:$L)</f>
        <v>#VALUE!</v>
      </c>
      <c r="J226" s="1" t="e">
        <f>SUMIF('[1]Map_Meso-Ox'!$C:$C,A226,'[1]Map_Meso-Ox'!$D:$D)</f>
        <v>#VALUE!</v>
      </c>
      <c r="K226" s="2" t="e">
        <f t="shared" si="6"/>
        <v>#VALUE!</v>
      </c>
      <c r="L226" s="1" t="e">
        <f>SUMIF('[1]Map_Meso-Ox'!$C:$C,A226,'[1]Map_Meso-Ox'!$E:$E)</f>
        <v>#VALUE!</v>
      </c>
      <c r="M226" s="2" t="e">
        <f t="shared" si="7"/>
        <v>#VALUE!</v>
      </c>
    </row>
    <row r="227" spans="1:13" x14ac:dyDescent="0.25">
      <c r="A227">
        <v>6</v>
      </c>
      <c r="B227">
        <v>2</v>
      </c>
      <c r="C227">
        <v>10.872999999999999</v>
      </c>
      <c r="D227">
        <v>0.79900000000000004</v>
      </c>
      <c r="E227" t="s">
        <v>7</v>
      </c>
      <c r="F227">
        <v>1</v>
      </c>
      <c r="G227">
        <f>COUNTIF(E:E,E227)</f>
        <v>110</v>
      </c>
      <c r="H227">
        <f>COUNTIFS(E:E,E227,A:A,A227,D:D,D227)</f>
        <v>1</v>
      </c>
      <c r="I227" t="e">
        <f>SUMIF([1]Mapeamento!$J:$J,A227,[1]Mapeamento!$L:$L)</f>
        <v>#VALUE!</v>
      </c>
      <c r="J227" s="1" t="e">
        <f>SUMIF('[1]Map_Meso-Ox'!$C:$C,A227,'[1]Map_Meso-Ox'!$D:$D)</f>
        <v>#VALUE!</v>
      </c>
      <c r="K227" s="2" t="e">
        <f t="shared" si="6"/>
        <v>#VALUE!</v>
      </c>
      <c r="L227" s="1" t="e">
        <f>SUMIF('[1]Map_Meso-Ox'!$C:$C,A227,'[1]Map_Meso-Ox'!$E:$E)</f>
        <v>#VALUE!</v>
      </c>
      <c r="M227" s="2" t="e">
        <f t="shared" si="7"/>
        <v>#VALUE!</v>
      </c>
    </row>
    <row r="228" spans="1:13" x14ac:dyDescent="0.25">
      <c r="A228">
        <v>7</v>
      </c>
      <c r="B228">
        <v>2</v>
      </c>
      <c r="C228">
        <v>19.753</v>
      </c>
      <c r="D228">
        <v>0.28139999999999998</v>
      </c>
      <c r="E228" t="s">
        <v>7</v>
      </c>
      <c r="F228">
        <v>1</v>
      </c>
      <c r="G228">
        <f>COUNTIF(E:E,E228)</f>
        <v>110</v>
      </c>
      <c r="H228">
        <f>COUNTIFS(E:E,E228,A:A,A228,D:D,D228)</f>
        <v>1</v>
      </c>
      <c r="I228" t="e">
        <f>SUMIF([1]Mapeamento!$J:$J,A228,[1]Mapeamento!$L:$L)</f>
        <v>#VALUE!</v>
      </c>
      <c r="J228" s="1" t="e">
        <f>SUMIF('[1]Map_Meso-Ox'!$C:$C,A228,'[1]Map_Meso-Ox'!$D:$D)</f>
        <v>#VALUE!</v>
      </c>
      <c r="K228" s="2" t="e">
        <f t="shared" si="6"/>
        <v>#VALUE!</v>
      </c>
      <c r="L228" s="1" t="e">
        <f>SUMIF('[1]Map_Meso-Ox'!$C:$C,A228,'[1]Map_Meso-Ox'!$E:$E)</f>
        <v>#VALUE!</v>
      </c>
      <c r="M228" s="2" t="e">
        <f t="shared" si="7"/>
        <v>#VALUE!</v>
      </c>
    </row>
    <row r="229" spans="1:13" x14ac:dyDescent="0.25">
      <c r="A229">
        <v>8</v>
      </c>
      <c r="B229">
        <v>2</v>
      </c>
      <c r="C229">
        <v>29.081</v>
      </c>
      <c r="D229">
        <v>0.1106</v>
      </c>
      <c r="E229" t="s">
        <v>7</v>
      </c>
      <c r="F229">
        <v>0</v>
      </c>
      <c r="G229">
        <f>COUNTIF(E:E,E229)</f>
        <v>110</v>
      </c>
      <c r="H229">
        <f>COUNTIFS(E:E,E229,A:A,A229,D:D,D229)</f>
        <v>1</v>
      </c>
      <c r="I229" t="e">
        <f>SUMIF([1]Mapeamento!$J:$J,A229,[1]Mapeamento!$L:$L)</f>
        <v>#VALUE!</v>
      </c>
      <c r="J229" s="1" t="e">
        <f>SUMIF('[1]Map_Meso-Ox'!$C:$C,A229,'[1]Map_Meso-Ox'!$D:$D)</f>
        <v>#VALUE!</v>
      </c>
      <c r="K229" s="2" t="e">
        <f t="shared" si="6"/>
        <v>#VALUE!</v>
      </c>
      <c r="L229" s="1" t="e">
        <f>SUMIF('[1]Map_Meso-Ox'!$C:$C,A229,'[1]Map_Meso-Ox'!$E:$E)</f>
        <v>#VALUE!</v>
      </c>
      <c r="M229" s="2" t="e">
        <f t="shared" si="7"/>
        <v>#VALUE!</v>
      </c>
    </row>
    <row r="230" spans="1:13" x14ac:dyDescent="0.25">
      <c r="A230">
        <v>9</v>
      </c>
      <c r="B230">
        <v>2</v>
      </c>
      <c r="C230">
        <v>28.640999999999998</v>
      </c>
      <c r="D230">
        <v>0.1055</v>
      </c>
      <c r="E230" t="s">
        <v>7</v>
      </c>
      <c r="F230">
        <v>0</v>
      </c>
      <c r="G230">
        <f>COUNTIF(E:E,E230)</f>
        <v>110</v>
      </c>
      <c r="H230">
        <f>COUNTIFS(E:E,E230,A:A,A230,D:D,D230)</f>
        <v>1</v>
      </c>
      <c r="I230" t="e">
        <f>SUMIF([1]Mapeamento!$J:$J,A230,[1]Mapeamento!$L:$L)</f>
        <v>#VALUE!</v>
      </c>
      <c r="J230" s="1" t="e">
        <f>SUMIF('[1]Map_Meso-Ox'!$C:$C,A230,'[1]Map_Meso-Ox'!$D:$D)</f>
        <v>#VALUE!</v>
      </c>
      <c r="K230" s="2" t="e">
        <f t="shared" si="6"/>
        <v>#VALUE!</v>
      </c>
      <c r="L230" s="1" t="e">
        <f>SUMIF('[1]Map_Meso-Ox'!$C:$C,A230,'[1]Map_Meso-Ox'!$E:$E)</f>
        <v>#VALUE!</v>
      </c>
      <c r="M230" s="2" t="e">
        <f t="shared" si="7"/>
        <v>#VALUE!</v>
      </c>
    </row>
    <row r="231" spans="1:13" x14ac:dyDescent="0.25">
      <c r="A231">
        <v>10</v>
      </c>
      <c r="B231">
        <v>2</v>
      </c>
      <c r="C231">
        <v>16.481999999999999</v>
      </c>
      <c r="D231">
        <v>0.34670000000000001</v>
      </c>
      <c r="E231" t="s">
        <v>7</v>
      </c>
      <c r="F231">
        <v>0</v>
      </c>
      <c r="G231">
        <f>COUNTIF(E:E,E231)</f>
        <v>110</v>
      </c>
      <c r="H231">
        <f>COUNTIFS(E:E,E231,A:A,A231,D:D,D231)</f>
        <v>1</v>
      </c>
      <c r="I231" t="e">
        <f>SUMIF([1]Mapeamento!$J:$J,A231,[1]Mapeamento!$L:$L)</f>
        <v>#VALUE!</v>
      </c>
      <c r="J231" s="1" t="e">
        <f>SUMIF('[1]Map_Meso-Ox'!$C:$C,A231,'[1]Map_Meso-Ox'!$D:$D)</f>
        <v>#VALUE!</v>
      </c>
      <c r="K231" s="2" t="e">
        <f t="shared" si="6"/>
        <v>#VALUE!</v>
      </c>
      <c r="L231" s="1" t="e">
        <f>SUMIF('[1]Map_Meso-Ox'!$C:$C,A231,'[1]Map_Meso-Ox'!$E:$E)</f>
        <v>#VALUE!</v>
      </c>
      <c r="M231" s="2" t="e">
        <f t="shared" si="7"/>
        <v>#VALUE!</v>
      </c>
    </row>
    <row r="232" spans="1:13" x14ac:dyDescent="0.25">
      <c r="A232">
        <v>11</v>
      </c>
      <c r="B232">
        <v>2</v>
      </c>
      <c r="C232">
        <v>22.966000000000001</v>
      </c>
      <c r="D232">
        <v>0.2412</v>
      </c>
      <c r="E232" t="s">
        <v>7</v>
      </c>
      <c r="F232">
        <v>0</v>
      </c>
      <c r="G232">
        <f>COUNTIF(E:E,E232)</f>
        <v>110</v>
      </c>
      <c r="H232">
        <f>COUNTIFS(E:E,E232,A:A,A232,D:D,D232)</f>
        <v>1</v>
      </c>
      <c r="I232" t="e">
        <f>SUMIF([1]Mapeamento!$J:$J,A232,[1]Mapeamento!$L:$L)</f>
        <v>#VALUE!</v>
      </c>
      <c r="J232" s="1" t="e">
        <f>SUMIF('[1]Map_Meso-Ox'!$C:$C,A232,'[1]Map_Meso-Ox'!$D:$D)</f>
        <v>#VALUE!</v>
      </c>
      <c r="K232" s="2" t="e">
        <f t="shared" si="6"/>
        <v>#VALUE!</v>
      </c>
      <c r="L232" s="1" t="e">
        <f>SUMIF('[1]Map_Meso-Ox'!$C:$C,A232,'[1]Map_Meso-Ox'!$E:$E)</f>
        <v>#VALUE!</v>
      </c>
      <c r="M232" s="2" t="e">
        <f t="shared" si="7"/>
        <v>#VALUE!</v>
      </c>
    </row>
    <row r="233" spans="1:13" x14ac:dyDescent="0.25">
      <c r="A233">
        <v>12</v>
      </c>
      <c r="B233">
        <v>2</v>
      </c>
      <c r="C233">
        <v>32.673000000000002</v>
      </c>
      <c r="D233">
        <v>2.01E-2</v>
      </c>
      <c r="E233" t="s">
        <v>7</v>
      </c>
      <c r="F233">
        <v>1</v>
      </c>
      <c r="G233">
        <f>COUNTIF(E:E,E233)</f>
        <v>110</v>
      </c>
      <c r="H233">
        <f>COUNTIFS(E:E,E233,A:A,A233,D:D,D233)</f>
        <v>1</v>
      </c>
      <c r="I233" t="e">
        <f>SUMIF([1]Mapeamento!$J:$J,A233,[1]Mapeamento!$L:$L)</f>
        <v>#VALUE!</v>
      </c>
      <c r="J233" s="1" t="e">
        <f>SUMIF('[1]Map_Meso-Ox'!$C:$C,A233,'[1]Map_Meso-Ox'!$D:$D)</f>
        <v>#VALUE!</v>
      </c>
      <c r="K233" s="2" t="e">
        <f t="shared" si="6"/>
        <v>#VALUE!</v>
      </c>
      <c r="L233" s="1" t="e">
        <f>SUMIF('[1]Map_Meso-Ox'!$C:$C,A233,'[1]Map_Meso-Ox'!$E:$E)</f>
        <v>#VALUE!</v>
      </c>
      <c r="M233" s="2" t="e">
        <f t="shared" si="7"/>
        <v>#VALUE!</v>
      </c>
    </row>
    <row r="234" spans="1:13" x14ac:dyDescent="0.25">
      <c r="A234">
        <v>13</v>
      </c>
      <c r="B234">
        <v>2</v>
      </c>
      <c r="C234">
        <v>36.445999999999998</v>
      </c>
      <c r="D234">
        <v>3.5200000000000002E-2</v>
      </c>
      <c r="E234" t="s">
        <v>7</v>
      </c>
      <c r="F234">
        <v>1</v>
      </c>
      <c r="G234">
        <f>COUNTIF(E:E,E234)</f>
        <v>110</v>
      </c>
      <c r="H234">
        <f>COUNTIFS(E:E,E234,A:A,A234,D:D,D234)</f>
        <v>1</v>
      </c>
      <c r="I234" t="e">
        <f>SUMIF([1]Mapeamento!$J:$J,A234,[1]Mapeamento!$L:$L)</f>
        <v>#VALUE!</v>
      </c>
      <c r="J234" s="1" t="e">
        <f>SUMIF('[1]Map_Meso-Ox'!$C:$C,A234,'[1]Map_Meso-Ox'!$D:$D)</f>
        <v>#VALUE!</v>
      </c>
      <c r="K234" s="2" t="e">
        <f t="shared" si="6"/>
        <v>#VALUE!</v>
      </c>
      <c r="L234" s="1" t="e">
        <f>SUMIF('[1]Map_Meso-Ox'!$C:$C,A234,'[1]Map_Meso-Ox'!$E:$E)</f>
        <v>#VALUE!</v>
      </c>
      <c r="M234" s="2" t="e">
        <f t="shared" si="7"/>
        <v>#VALUE!</v>
      </c>
    </row>
    <row r="235" spans="1:13" x14ac:dyDescent="0.25">
      <c r="A235">
        <v>14</v>
      </c>
      <c r="B235">
        <v>2</v>
      </c>
      <c r="C235">
        <v>51.372999999999998</v>
      </c>
      <c r="D235">
        <v>0</v>
      </c>
      <c r="E235" t="s">
        <v>7</v>
      </c>
      <c r="F235">
        <v>1</v>
      </c>
      <c r="G235">
        <f>COUNTIF(E:E,E235)</f>
        <v>110</v>
      </c>
      <c r="H235">
        <f>COUNTIFS(E:E,E235,A:A,A235,D:D,D235)</f>
        <v>1</v>
      </c>
      <c r="I235" t="e">
        <f>SUMIF([1]Mapeamento!$J:$J,A235,[1]Mapeamento!$L:$L)</f>
        <v>#VALUE!</v>
      </c>
      <c r="J235" s="1" t="e">
        <f>SUMIF('[1]Map_Meso-Ox'!$C:$C,A235,'[1]Map_Meso-Ox'!$D:$D)</f>
        <v>#VALUE!</v>
      </c>
      <c r="K235" s="2" t="e">
        <f t="shared" si="6"/>
        <v>#VALUE!</v>
      </c>
      <c r="L235" s="1" t="e">
        <f>SUMIF('[1]Map_Meso-Ox'!$C:$C,A235,'[1]Map_Meso-Ox'!$E:$E)</f>
        <v>#VALUE!</v>
      </c>
      <c r="M235" s="2" t="e">
        <f t="shared" si="7"/>
        <v>#VALUE!</v>
      </c>
    </row>
    <row r="236" spans="1:13" x14ac:dyDescent="0.25">
      <c r="A236">
        <v>15</v>
      </c>
      <c r="B236">
        <v>2</v>
      </c>
      <c r="C236">
        <v>28.24</v>
      </c>
      <c r="D236">
        <v>0.1759</v>
      </c>
      <c r="E236" t="s">
        <v>7</v>
      </c>
      <c r="F236">
        <v>0</v>
      </c>
      <c r="G236">
        <f>COUNTIF(E:E,E236)</f>
        <v>110</v>
      </c>
      <c r="H236">
        <f>COUNTIFS(E:E,E236,A:A,A236,D:D,D236)</f>
        <v>1</v>
      </c>
      <c r="I236" t="e">
        <f>SUMIF([1]Mapeamento!$J:$J,A236,[1]Mapeamento!$L:$L)</f>
        <v>#VALUE!</v>
      </c>
      <c r="J236" s="1" t="e">
        <f>SUMIF('[1]Map_Meso-Ox'!$C:$C,A236,'[1]Map_Meso-Ox'!$D:$D)</f>
        <v>#VALUE!</v>
      </c>
      <c r="K236" s="2" t="e">
        <f t="shared" si="6"/>
        <v>#VALUE!</v>
      </c>
      <c r="L236" s="1" t="e">
        <f>SUMIF('[1]Map_Meso-Ox'!$C:$C,A236,'[1]Map_Meso-Ox'!$E:$E)</f>
        <v>#VALUE!</v>
      </c>
      <c r="M236" s="2" t="e">
        <f t="shared" si="7"/>
        <v>#VALUE!</v>
      </c>
    </row>
    <row r="237" spans="1:13" x14ac:dyDescent="0.25">
      <c r="A237">
        <v>16</v>
      </c>
      <c r="B237">
        <v>2</v>
      </c>
      <c r="C237">
        <v>47.314999999999998</v>
      </c>
      <c r="D237">
        <v>2.01E-2</v>
      </c>
      <c r="E237" t="s">
        <v>7</v>
      </c>
      <c r="F237">
        <v>1</v>
      </c>
      <c r="G237">
        <f>COUNTIF(E:E,E237)</f>
        <v>110</v>
      </c>
      <c r="H237">
        <f>COUNTIFS(E:E,E237,A:A,A237,D:D,D237)</f>
        <v>1</v>
      </c>
      <c r="I237" t="e">
        <f>SUMIF([1]Mapeamento!$J:$J,A237,[1]Mapeamento!$L:$L)</f>
        <v>#VALUE!</v>
      </c>
      <c r="J237" s="1" t="e">
        <f>SUMIF('[1]Map_Meso-Ox'!$C:$C,A237,'[1]Map_Meso-Ox'!$D:$D)</f>
        <v>#VALUE!</v>
      </c>
      <c r="K237" s="2" t="e">
        <f t="shared" si="6"/>
        <v>#VALUE!</v>
      </c>
      <c r="L237" s="1" t="e">
        <f>SUMIF('[1]Map_Meso-Ox'!$C:$C,A237,'[1]Map_Meso-Ox'!$E:$E)</f>
        <v>#VALUE!</v>
      </c>
      <c r="M237" s="2" t="e">
        <f t="shared" si="7"/>
        <v>#VALUE!</v>
      </c>
    </row>
    <row r="238" spans="1:13" x14ac:dyDescent="0.25">
      <c r="A238">
        <v>17</v>
      </c>
      <c r="B238">
        <v>2</v>
      </c>
      <c r="C238">
        <v>22.038</v>
      </c>
      <c r="D238">
        <v>0.21609999999999999</v>
      </c>
      <c r="E238" t="s">
        <v>7</v>
      </c>
      <c r="F238">
        <v>3</v>
      </c>
      <c r="G238">
        <f>COUNTIF(E:E,E238)</f>
        <v>110</v>
      </c>
      <c r="H238">
        <f>COUNTIFS(E:E,E238,A:A,A238,D:D,D238)</f>
        <v>1</v>
      </c>
      <c r="I238" t="e">
        <f>SUMIF([1]Mapeamento!$J:$J,A238,[1]Mapeamento!$L:$L)</f>
        <v>#VALUE!</v>
      </c>
      <c r="J238" s="1" t="e">
        <f>SUMIF('[1]Map_Meso-Ox'!$C:$C,A238,'[1]Map_Meso-Ox'!$D:$D)</f>
        <v>#VALUE!</v>
      </c>
      <c r="K238" s="2" t="e">
        <f t="shared" si="6"/>
        <v>#VALUE!</v>
      </c>
      <c r="L238" s="1" t="e">
        <f>SUMIF('[1]Map_Meso-Ox'!$C:$C,A238,'[1]Map_Meso-Ox'!$E:$E)</f>
        <v>#VALUE!</v>
      </c>
      <c r="M238" s="2" t="e">
        <f t="shared" si="7"/>
        <v>#VALUE!</v>
      </c>
    </row>
    <row r="239" spans="1:13" x14ac:dyDescent="0.25">
      <c r="A239">
        <v>18</v>
      </c>
      <c r="B239">
        <v>2</v>
      </c>
      <c r="C239">
        <v>31.411999999999999</v>
      </c>
      <c r="D239">
        <v>5.0000000000000001E-3</v>
      </c>
      <c r="E239" t="s">
        <v>7</v>
      </c>
      <c r="F239">
        <v>3</v>
      </c>
      <c r="G239">
        <f>COUNTIF(E:E,E239)</f>
        <v>110</v>
      </c>
      <c r="H239">
        <f>COUNTIFS(E:E,E239,A:A,A239,D:D,D239)</f>
        <v>1</v>
      </c>
      <c r="I239" t="e">
        <f>SUMIF([1]Mapeamento!$J:$J,A239,[1]Mapeamento!$L:$L)</f>
        <v>#VALUE!</v>
      </c>
      <c r="J239" s="1" t="e">
        <f>SUMIF('[1]Map_Meso-Ox'!$C:$C,A239,'[1]Map_Meso-Ox'!$D:$D)</f>
        <v>#VALUE!</v>
      </c>
      <c r="K239" s="2" t="e">
        <f t="shared" si="6"/>
        <v>#VALUE!</v>
      </c>
      <c r="L239" s="1" t="e">
        <f>SUMIF('[1]Map_Meso-Ox'!$C:$C,A239,'[1]Map_Meso-Ox'!$E:$E)</f>
        <v>#VALUE!</v>
      </c>
      <c r="M239" s="2" t="e">
        <f t="shared" si="7"/>
        <v>#VALUE!</v>
      </c>
    </row>
    <row r="240" spans="1:13" x14ac:dyDescent="0.25">
      <c r="A240">
        <v>19</v>
      </c>
      <c r="B240">
        <v>2</v>
      </c>
      <c r="C240">
        <v>45.643999999999998</v>
      </c>
      <c r="D240">
        <v>1.01E-2</v>
      </c>
      <c r="E240" t="s">
        <v>7</v>
      </c>
      <c r="F240">
        <v>2</v>
      </c>
      <c r="G240">
        <f>COUNTIF(E:E,E240)</f>
        <v>110</v>
      </c>
      <c r="H240">
        <f>COUNTIFS(E:E,E240,A:A,A240,D:D,D240)</f>
        <v>1</v>
      </c>
      <c r="I240" t="e">
        <f>SUMIF([1]Mapeamento!$J:$J,A240,[1]Mapeamento!$L:$L)</f>
        <v>#VALUE!</v>
      </c>
      <c r="J240" s="1" t="e">
        <f>SUMIF('[1]Map_Meso-Ox'!$C:$C,A240,'[1]Map_Meso-Ox'!$D:$D)</f>
        <v>#VALUE!</v>
      </c>
      <c r="K240" s="2" t="e">
        <f t="shared" si="6"/>
        <v>#VALUE!</v>
      </c>
      <c r="L240" s="1" t="e">
        <f>SUMIF('[1]Map_Meso-Ox'!$C:$C,A240,'[1]Map_Meso-Ox'!$E:$E)</f>
        <v>#VALUE!</v>
      </c>
      <c r="M240" s="2" t="e">
        <f t="shared" si="7"/>
        <v>#VALUE!</v>
      </c>
    </row>
    <row r="241" spans="1:13" x14ac:dyDescent="0.25">
      <c r="A241">
        <v>20</v>
      </c>
      <c r="B241">
        <v>2</v>
      </c>
      <c r="C241">
        <v>39.613</v>
      </c>
      <c r="D241">
        <v>6.0299999999999999E-2</v>
      </c>
      <c r="E241" t="s">
        <v>7</v>
      </c>
      <c r="F241">
        <v>2</v>
      </c>
      <c r="G241">
        <f>COUNTIF(E:E,E241)</f>
        <v>110</v>
      </c>
      <c r="H241">
        <f>COUNTIFS(E:E,E241,A:A,A241,D:D,D241)</f>
        <v>1</v>
      </c>
      <c r="I241" t="e">
        <f>SUMIF([1]Mapeamento!$J:$J,A241,[1]Mapeamento!$L:$L)</f>
        <v>#VALUE!</v>
      </c>
      <c r="J241" s="1" t="e">
        <f>SUMIF('[1]Map_Meso-Ox'!$C:$C,A241,'[1]Map_Meso-Ox'!$D:$D)</f>
        <v>#VALUE!</v>
      </c>
      <c r="K241" s="2" t="e">
        <f t="shared" si="6"/>
        <v>#VALUE!</v>
      </c>
      <c r="L241" s="1" t="e">
        <f>SUMIF('[1]Map_Meso-Ox'!$C:$C,A241,'[1]Map_Meso-Ox'!$E:$E)</f>
        <v>#VALUE!</v>
      </c>
      <c r="M241" s="2" t="e">
        <f t="shared" si="7"/>
        <v>#VALUE!</v>
      </c>
    </row>
    <row r="242" spans="1:13" x14ac:dyDescent="0.25">
      <c r="A242">
        <v>21</v>
      </c>
      <c r="B242">
        <v>2</v>
      </c>
      <c r="C242">
        <v>44.164999999999999</v>
      </c>
      <c r="D242">
        <v>0</v>
      </c>
      <c r="E242" t="s">
        <v>7</v>
      </c>
      <c r="F242">
        <v>2</v>
      </c>
      <c r="G242">
        <f>COUNTIF(E:E,E242)</f>
        <v>110</v>
      </c>
      <c r="H242">
        <f>COUNTIFS(E:E,E242,A:A,A242,D:D,D242)</f>
        <v>1</v>
      </c>
      <c r="I242" t="e">
        <f>SUMIF([1]Mapeamento!$J:$J,A242,[1]Mapeamento!$L:$L)</f>
        <v>#VALUE!</v>
      </c>
      <c r="J242" s="1" t="e">
        <f>SUMIF('[1]Map_Meso-Ox'!$C:$C,A242,'[1]Map_Meso-Ox'!$D:$D)</f>
        <v>#VALUE!</v>
      </c>
      <c r="K242" s="2" t="e">
        <f t="shared" si="6"/>
        <v>#VALUE!</v>
      </c>
      <c r="L242" s="1" t="e">
        <f>SUMIF('[1]Map_Meso-Ox'!$C:$C,A242,'[1]Map_Meso-Ox'!$E:$E)</f>
        <v>#VALUE!</v>
      </c>
      <c r="M242" s="2" t="e">
        <f t="shared" si="7"/>
        <v>#VALUE!</v>
      </c>
    </row>
    <row r="243" spans="1:13" x14ac:dyDescent="0.25">
      <c r="A243">
        <v>22</v>
      </c>
      <c r="B243">
        <v>2</v>
      </c>
      <c r="C243">
        <v>33.287999999999997</v>
      </c>
      <c r="D243">
        <v>5.5300000000000002E-2</v>
      </c>
      <c r="E243" t="s">
        <v>7</v>
      </c>
      <c r="F243">
        <v>3</v>
      </c>
      <c r="G243">
        <f>COUNTIF(E:E,E243)</f>
        <v>110</v>
      </c>
      <c r="H243">
        <f>COUNTIFS(E:E,E243,A:A,A243,D:D,D243)</f>
        <v>1</v>
      </c>
      <c r="I243" t="e">
        <f>SUMIF([1]Mapeamento!$J:$J,A243,[1]Mapeamento!$L:$L)</f>
        <v>#VALUE!</v>
      </c>
      <c r="J243" s="1" t="e">
        <f>SUMIF('[1]Map_Meso-Ox'!$C:$C,A243,'[1]Map_Meso-Ox'!$D:$D)</f>
        <v>#VALUE!</v>
      </c>
      <c r="K243" s="2" t="e">
        <f t="shared" si="6"/>
        <v>#VALUE!</v>
      </c>
      <c r="L243" s="1" t="e">
        <f>SUMIF('[1]Map_Meso-Ox'!$C:$C,A243,'[1]Map_Meso-Ox'!$E:$E)</f>
        <v>#VALUE!</v>
      </c>
      <c r="M243" s="2" t="e">
        <f t="shared" si="7"/>
        <v>#VALUE!</v>
      </c>
    </row>
    <row r="244" spans="1:13" x14ac:dyDescent="0.25">
      <c r="A244">
        <v>23</v>
      </c>
      <c r="B244">
        <v>2</v>
      </c>
      <c r="C244">
        <v>25.119</v>
      </c>
      <c r="D244">
        <v>0.1709</v>
      </c>
      <c r="E244" t="s">
        <v>7</v>
      </c>
      <c r="F244">
        <v>1</v>
      </c>
      <c r="G244">
        <f>COUNTIF(E:E,E244)</f>
        <v>110</v>
      </c>
      <c r="H244">
        <f>COUNTIFS(E:E,E244,A:A,A244,D:D,D244)</f>
        <v>1</v>
      </c>
      <c r="I244" t="e">
        <f>SUMIF([1]Mapeamento!$J:$J,A244,[1]Mapeamento!$L:$L)</f>
        <v>#VALUE!</v>
      </c>
      <c r="J244" s="1" t="e">
        <f>SUMIF('[1]Map_Meso-Ox'!$C:$C,A244,'[1]Map_Meso-Ox'!$D:$D)</f>
        <v>#VALUE!</v>
      </c>
      <c r="K244" s="2" t="e">
        <f t="shared" si="6"/>
        <v>#VALUE!</v>
      </c>
      <c r="L244" s="1" t="e">
        <f>SUMIF('[1]Map_Meso-Ox'!$C:$C,A244,'[1]Map_Meso-Ox'!$E:$E)</f>
        <v>#VALUE!</v>
      </c>
      <c r="M244" s="2" t="e">
        <f t="shared" si="7"/>
        <v>#VALUE!</v>
      </c>
    </row>
    <row r="245" spans="1:13" x14ac:dyDescent="0.25">
      <c r="A245">
        <v>24</v>
      </c>
      <c r="B245">
        <v>2</v>
      </c>
      <c r="C245">
        <v>55.414999999999999</v>
      </c>
      <c r="D245">
        <v>0</v>
      </c>
      <c r="E245" t="s">
        <v>7</v>
      </c>
      <c r="F245">
        <v>1</v>
      </c>
      <c r="G245">
        <f>COUNTIF(E:E,E245)</f>
        <v>110</v>
      </c>
      <c r="H245">
        <f>COUNTIFS(E:E,E245,A:A,A245,D:D,D245)</f>
        <v>1</v>
      </c>
      <c r="I245" t="e">
        <f>SUMIF([1]Mapeamento!$J:$J,A245,[1]Mapeamento!$L:$L)</f>
        <v>#VALUE!</v>
      </c>
      <c r="J245" s="1" t="e">
        <f>SUMIF('[1]Map_Meso-Ox'!$C:$C,A245,'[1]Map_Meso-Ox'!$D:$D)</f>
        <v>#VALUE!</v>
      </c>
      <c r="K245" s="2" t="e">
        <f t="shared" si="6"/>
        <v>#VALUE!</v>
      </c>
      <c r="L245" s="1" t="e">
        <f>SUMIF('[1]Map_Meso-Ox'!$C:$C,A245,'[1]Map_Meso-Ox'!$E:$E)</f>
        <v>#VALUE!</v>
      </c>
      <c r="M245" s="2" t="e">
        <f t="shared" si="7"/>
        <v>#VALUE!</v>
      </c>
    </row>
    <row r="246" spans="1:13" x14ac:dyDescent="0.25">
      <c r="A246">
        <v>25</v>
      </c>
      <c r="B246">
        <v>2</v>
      </c>
      <c r="C246">
        <v>16.597999999999999</v>
      </c>
      <c r="D246">
        <v>0.4824</v>
      </c>
      <c r="E246" t="s">
        <v>7</v>
      </c>
      <c r="F246">
        <v>1</v>
      </c>
      <c r="G246">
        <f>COUNTIF(E:E,E246)</f>
        <v>110</v>
      </c>
      <c r="H246">
        <f>COUNTIFS(E:E,E246,A:A,A246,D:D,D246)</f>
        <v>1</v>
      </c>
      <c r="I246" t="e">
        <f>SUMIF([1]Mapeamento!$J:$J,A246,[1]Mapeamento!$L:$L)</f>
        <v>#VALUE!</v>
      </c>
      <c r="J246" s="1" t="e">
        <f>SUMIF('[1]Map_Meso-Ox'!$C:$C,A246,'[1]Map_Meso-Ox'!$D:$D)</f>
        <v>#VALUE!</v>
      </c>
      <c r="K246" s="2" t="e">
        <f t="shared" si="6"/>
        <v>#VALUE!</v>
      </c>
      <c r="L246" s="1" t="e">
        <f>SUMIF('[1]Map_Meso-Ox'!$C:$C,A246,'[1]Map_Meso-Ox'!$E:$E)</f>
        <v>#VALUE!</v>
      </c>
      <c r="M246" s="2" t="e">
        <f t="shared" si="7"/>
        <v>#VALUE!</v>
      </c>
    </row>
    <row r="247" spans="1:13" x14ac:dyDescent="0.25">
      <c r="A247">
        <v>26</v>
      </c>
      <c r="B247">
        <v>2</v>
      </c>
      <c r="C247">
        <v>35.079000000000001</v>
      </c>
      <c r="D247">
        <v>2.5100000000000001E-2</v>
      </c>
      <c r="E247" t="s">
        <v>7</v>
      </c>
      <c r="F247">
        <v>2</v>
      </c>
      <c r="G247">
        <f>COUNTIF(E:E,E247)</f>
        <v>110</v>
      </c>
      <c r="H247">
        <f>COUNTIFS(E:E,E247,A:A,A247,D:D,D247)</f>
        <v>1</v>
      </c>
      <c r="I247" t="e">
        <f>SUMIF([1]Mapeamento!$J:$J,A247,[1]Mapeamento!$L:$L)</f>
        <v>#VALUE!</v>
      </c>
      <c r="J247" s="1" t="e">
        <f>SUMIF('[1]Map_Meso-Ox'!$C:$C,A247,'[1]Map_Meso-Ox'!$D:$D)</f>
        <v>#VALUE!</v>
      </c>
      <c r="K247" s="2" t="e">
        <f t="shared" si="6"/>
        <v>#VALUE!</v>
      </c>
      <c r="L247" s="1" t="e">
        <f>SUMIF('[1]Map_Meso-Ox'!$C:$C,A247,'[1]Map_Meso-Ox'!$E:$E)</f>
        <v>#VALUE!</v>
      </c>
      <c r="M247" s="2" t="e">
        <f t="shared" si="7"/>
        <v>#VALUE!</v>
      </c>
    </row>
    <row r="248" spans="1:13" x14ac:dyDescent="0.25">
      <c r="A248">
        <v>27</v>
      </c>
      <c r="B248">
        <v>2</v>
      </c>
      <c r="C248">
        <v>21.997</v>
      </c>
      <c r="D248">
        <v>0.27139999999999997</v>
      </c>
      <c r="E248" t="s">
        <v>7</v>
      </c>
      <c r="F248">
        <v>0</v>
      </c>
      <c r="G248">
        <f>COUNTIF(E:E,E248)</f>
        <v>110</v>
      </c>
      <c r="H248">
        <f>COUNTIFS(E:E,E248,A:A,A248,D:D,D248)</f>
        <v>1</v>
      </c>
      <c r="I248" t="e">
        <f>SUMIF([1]Mapeamento!$J:$J,A248,[1]Mapeamento!$L:$L)</f>
        <v>#VALUE!</v>
      </c>
      <c r="J248" s="1" t="e">
        <f>SUMIF('[1]Map_Meso-Ox'!$C:$C,A248,'[1]Map_Meso-Ox'!$D:$D)</f>
        <v>#VALUE!</v>
      </c>
      <c r="K248" s="2" t="e">
        <f t="shared" si="6"/>
        <v>#VALUE!</v>
      </c>
      <c r="L248" s="1" t="e">
        <f>SUMIF('[1]Map_Meso-Ox'!$C:$C,A248,'[1]Map_Meso-Ox'!$E:$E)</f>
        <v>#VALUE!</v>
      </c>
      <c r="M248" s="2" t="e">
        <f t="shared" si="7"/>
        <v>#VALUE!</v>
      </c>
    </row>
    <row r="249" spans="1:13" x14ac:dyDescent="0.25">
      <c r="A249">
        <v>28</v>
      </c>
      <c r="B249">
        <v>2</v>
      </c>
      <c r="C249">
        <v>47.417999999999999</v>
      </c>
      <c r="D249">
        <v>1.01E-2</v>
      </c>
      <c r="E249" t="s">
        <v>7</v>
      </c>
      <c r="F249">
        <v>2</v>
      </c>
      <c r="G249">
        <f>COUNTIF(E:E,E249)</f>
        <v>110</v>
      </c>
      <c r="H249">
        <f>COUNTIFS(E:E,E249,A:A,A249,D:D,D249)</f>
        <v>1</v>
      </c>
      <c r="I249" t="e">
        <f>SUMIF([1]Mapeamento!$J:$J,A249,[1]Mapeamento!$L:$L)</f>
        <v>#VALUE!</v>
      </c>
      <c r="J249" s="1" t="e">
        <f>SUMIF('[1]Map_Meso-Ox'!$C:$C,A249,'[1]Map_Meso-Ox'!$D:$D)</f>
        <v>#VALUE!</v>
      </c>
      <c r="K249" s="2" t="e">
        <f t="shared" si="6"/>
        <v>#VALUE!</v>
      </c>
      <c r="L249" s="1" t="e">
        <f>SUMIF('[1]Map_Meso-Ox'!$C:$C,A249,'[1]Map_Meso-Ox'!$E:$E)</f>
        <v>#VALUE!</v>
      </c>
      <c r="M249" s="2" t="e">
        <f t="shared" si="7"/>
        <v>#VALUE!</v>
      </c>
    </row>
    <row r="250" spans="1:13" x14ac:dyDescent="0.25">
      <c r="A250">
        <v>29</v>
      </c>
      <c r="B250">
        <v>2</v>
      </c>
      <c r="C250">
        <v>36.700000000000003</v>
      </c>
      <c r="D250">
        <v>8.5400000000000004E-2</v>
      </c>
      <c r="E250" t="s">
        <v>7</v>
      </c>
      <c r="F250">
        <v>1</v>
      </c>
      <c r="G250">
        <f>COUNTIF(E:E,E250)</f>
        <v>110</v>
      </c>
      <c r="H250">
        <f>COUNTIFS(E:E,E250,A:A,A250,D:D,D250)</f>
        <v>1</v>
      </c>
      <c r="I250" t="e">
        <f>SUMIF([1]Mapeamento!$J:$J,A250,[1]Mapeamento!$L:$L)</f>
        <v>#VALUE!</v>
      </c>
      <c r="J250" s="1" t="e">
        <f>SUMIF('[1]Map_Meso-Ox'!$C:$C,A250,'[1]Map_Meso-Ox'!$D:$D)</f>
        <v>#VALUE!</v>
      </c>
      <c r="K250" s="2" t="e">
        <f t="shared" si="6"/>
        <v>#VALUE!</v>
      </c>
      <c r="L250" s="1" t="e">
        <f>SUMIF('[1]Map_Meso-Ox'!$C:$C,A250,'[1]Map_Meso-Ox'!$E:$E)</f>
        <v>#VALUE!</v>
      </c>
      <c r="M250" s="2" t="e">
        <f t="shared" si="7"/>
        <v>#VALUE!</v>
      </c>
    </row>
    <row r="251" spans="1:13" x14ac:dyDescent="0.25">
      <c r="A251">
        <v>30</v>
      </c>
      <c r="B251">
        <v>2</v>
      </c>
      <c r="C251">
        <v>40.085999999999999</v>
      </c>
      <c r="D251">
        <v>2.5100000000000001E-2</v>
      </c>
      <c r="E251" t="s">
        <v>7</v>
      </c>
      <c r="F251">
        <v>1</v>
      </c>
      <c r="G251">
        <f>COUNTIF(E:E,E251)</f>
        <v>110</v>
      </c>
      <c r="H251">
        <f>COUNTIFS(E:E,E251,A:A,A251,D:D,D251)</f>
        <v>1</v>
      </c>
      <c r="I251" t="e">
        <f>SUMIF([1]Mapeamento!$J:$J,A251,[1]Mapeamento!$L:$L)</f>
        <v>#VALUE!</v>
      </c>
      <c r="J251" s="1" t="e">
        <f>SUMIF('[1]Map_Meso-Ox'!$C:$C,A251,'[1]Map_Meso-Ox'!$D:$D)</f>
        <v>#VALUE!</v>
      </c>
      <c r="K251" s="2" t="e">
        <f t="shared" si="6"/>
        <v>#VALUE!</v>
      </c>
      <c r="L251" s="1" t="e">
        <f>SUMIF('[1]Map_Meso-Ox'!$C:$C,A251,'[1]Map_Meso-Ox'!$E:$E)</f>
        <v>#VALUE!</v>
      </c>
      <c r="M251" s="2" t="e">
        <f t="shared" si="7"/>
        <v>#VALUE!</v>
      </c>
    </row>
    <row r="252" spans="1:13" x14ac:dyDescent="0.25">
      <c r="A252">
        <v>31</v>
      </c>
      <c r="B252">
        <v>2</v>
      </c>
      <c r="C252">
        <v>50.261000000000003</v>
      </c>
      <c r="D252">
        <v>0</v>
      </c>
      <c r="E252" t="s">
        <v>7</v>
      </c>
      <c r="F252">
        <v>1</v>
      </c>
      <c r="G252">
        <f>COUNTIF(E:E,E252)</f>
        <v>110</v>
      </c>
      <c r="H252">
        <f>COUNTIFS(E:E,E252,A:A,A252,D:D,D252)</f>
        <v>1</v>
      </c>
      <c r="I252" t="e">
        <f>SUMIF([1]Mapeamento!$J:$J,A252,[1]Mapeamento!$L:$L)</f>
        <v>#VALUE!</v>
      </c>
      <c r="J252" s="1" t="e">
        <f>SUMIF('[1]Map_Meso-Ox'!$C:$C,A252,'[1]Map_Meso-Ox'!$D:$D)</f>
        <v>#VALUE!</v>
      </c>
      <c r="K252" s="2" t="e">
        <f t="shared" si="6"/>
        <v>#VALUE!</v>
      </c>
      <c r="L252" s="1" t="e">
        <f>SUMIF('[1]Map_Meso-Ox'!$C:$C,A252,'[1]Map_Meso-Ox'!$E:$E)</f>
        <v>#VALUE!</v>
      </c>
      <c r="M252" s="2" t="e">
        <f t="shared" si="7"/>
        <v>#VALUE!</v>
      </c>
    </row>
    <row r="253" spans="1:13" x14ac:dyDescent="0.25">
      <c r="A253">
        <v>32</v>
      </c>
      <c r="B253">
        <v>2</v>
      </c>
      <c r="C253">
        <v>40.902999999999999</v>
      </c>
      <c r="D253">
        <v>1.01E-2</v>
      </c>
      <c r="E253" t="s">
        <v>7</v>
      </c>
      <c r="F253">
        <v>1</v>
      </c>
      <c r="G253">
        <f>COUNTIF(E:E,E253)</f>
        <v>110</v>
      </c>
      <c r="H253">
        <f>COUNTIFS(E:E,E253,A:A,A253,D:D,D253)</f>
        <v>1</v>
      </c>
      <c r="I253" t="e">
        <f>SUMIF([1]Mapeamento!$J:$J,A253,[1]Mapeamento!$L:$L)</f>
        <v>#VALUE!</v>
      </c>
      <c r="J253" s="1" t="e">
        <f>SUMIF('[1]Map_Meso-Ox'!$C:$C,A253,'[1]Map_Meso-Ox'!$D:$D)</f>
        <v>#VALUE!</v>
      </c>
      <c r="K253" s="2" t="e">
        <f t="shared" si="6"/>
        <v>#VALUE!</v>
      </c>
      <c r="L253" s="1" t="e">
        <f>SUMIF('[1]Map_Meso-Ox'!$C:$C,A253,'[1]Map_Meso-Ox'!$E:$E)</f>
        <v>#VALUE!</v>
      </c>
      <c r="M253" s="2" t="e">
        <f t="shared" si="7"/>
        <v>#VALUE!</v>
      </c>
    </row>
    <row r="254" spans="1:13" x14ac:dyDescent="0.25">
      <c r="A254">
        <v>33</v>
      </c>
      <c r="B254">
        <v>2</v>
      </c>
      <c r="C254">
        <v>20.198</v>
      </c>
      <c r="D254">
        <v>0.38190000000000002</v>
      </c>
      <c r="E254" t="s">
        <v>7</v>
      </c>
      <c r="F254">
        <v>0</v>
      </c>
      <c r="G254">
        <f>COUNTIF(E:E,E254)</f>
        <v>110</v>
      </c>
      <c r="H254">
        <f>COUNTIFS(E:E,E254,A:A,A254,D:D,D254)</f>
        <v>1</v>
      </c>
      <c r="I254" t="e">
        <f>SUMIF([1]Mapeamento!$J:$J,A254,[1]Mapeamento!$L:$L)</f>
        <v>#VALUE!</v>
      </c>
      <c r="J254" s="1" t="e">
        <f>SUMIF('[1]Map_Meso-Ox'!$C:$C,A254,'[1]Map_Meso-Ox'!$D:$D)</f>
        <v>#VALUE!</v>
      </c>
      <c r="K254" s="2" t="e">
        <f t="shared" si="6"/>
        <v>#VALUE!</v>
      </c>
      <c r="L254" s="1" t="e">
        <f>SUMIF('[1]Map_Meso-Ox'!$C:$C,A254,'[1]Map_Meso-Ox'!$E:$E)</f>
        <v>#VALUE!</v>
      </c>
      <c r="M254" s="2" t="e">
        <f t="shared" si="7"/>
        <v>#VALUE!</v>
      </c>
    </row>
    <row r="255" spans="1:13" x14ac:dyDescent="0.25">
      <c r="A255">
        <v>34</v>
      </c>
      <c r="B255">
        <v>2</v>
      </c>
      <c r="C255">
        <v>40.220999999999997</v>
      </c>
      <c r="D255">
        <v>1.01E-2</v>
      </c>
      <c r="E255" t="s">
        <v>7</v>
      </c>
      <c r="F255">
        <v>2</v>
      </c>
      <c r="G255">
        <f>COUNTIF(E:E,E255)</f>
        <v>110</v>
      </c>
      <c r="H255">
        <f>COUNTIFS(E:E,E255,A:A,A255,D:D,D255)</f>
        <v>1</v>
      </c>
      <c r="I255" t="e">
        <f>SUMIF([1]Mapeamento!$J:$J,A255,[1]Mapeamento!$L:$L)</f>
        <v>#VALUE!</v>
      </c>
      <c r="J255" s="1" t="e">
        <f>SUMIF('[1]Map_Meso-Ox'!$C:$C,A255,'[1]Map_Meso-Ox'!$D:$D)</f>
        <v>#VALUE!</v>
      </c>
      <c r="K255" s="2" t="e">
        <f t="shared" si="6"/>
        <v>#VALUE!</v>
      </c>
      <c r="L255" s="1" t="e">
        <f>SUMIF('[1]Map_Meso-Ox'!$C:$C,A255,'[1]Map_Meso-Ox'!$E:$E)</f>
        <v>#VALUE!</v>
      </c>
      <c r="M255" s="2" t="e">
        <f t="shared" si="7"/>
        <v>#VALUE!</v>
      </c>
    </row>
    <row r="256" spans="1:13" x14ac:dyDescent="0.25">
      <c r="A256">
        <v>35</v>
      </c>
      <c r="B256">
        <v>2</v>
      </c>
      <c r="C256">
        <v>21.094999999999999</v>
      </c>
      <c r="D256">
        <v>0.40200000000000002</v>
      </c>
      <c r="E256" t="s">
        <v>7</v>
      </c>
      <c r="F256">
        <v>0</v>
      </c>
      <c r="G256">
        <f>COUNTIF(E:E,E256)</f>
        <v>110</v>
      </c>
      <c r="H256">
        <f>COUNTIFS(E:E,E256,A:A,A256,D:D,D256)</f>
        <v>1</v>
      </c>
      <c r="I256" t="e">
        <f>SUMIF([1]Mapeamento!$J:$J,A256,[1]Mapeamento!$L:$L)</f>
        <v>#VALUE!</v>
      </c>
      <c r="J256" s="1" t="e">
        <f>SUMIF('[1]Map_Meso-Ox'!$C:$C,A256,'[1]Map_Meso-Ox'!$D:$D)</f>
        <v>#VALUE!</v>
      </c>
      <c r="K256" s="2" t="e">
        <f t="shared" si="6"/>
        <v>#VALUE!</v>
      </c>
      <c r="L256" s="1" t="e">
        <f>SUMIF('[1]Map_Meso-Ox'!$C:$C,A256,'[1]Map_Meso-Ox'!$E:$E)</f>
        <v>#VALUE!</v>
      </c>
      <c r="M256" s="2" t="e">
        <f t="shared" si="7"/>
        <v>#VALUE!</v>
      </c>
    </row>
    <row r="257" spans="1:13" x14ac:dyDescent="0.25">
      <c r="A257">
        <v>36</v>
      </c>
      <c r="B257">
        <v>2</v>
      </c>
      <c r="C257">
        <v>33.268000000000001</v>
      </c>
      <c r="D257">
        <v>6.5299999999999997E-2</v>
      </c>
      <c r="E257" t="s">
        <v>7</v>
      </c>
      <c r="F257">
        <v>2</v>
      </c>
      <c r="G257">
        <f>COUNTIF(E:E,E257)</f>
        <v>110</v>
      </c>
      <c r="H257">
        <f>COUNTIFS(E:E,E257,A:A,A257,D:D,D257)</f>
        <v>1</v>
      </c>
      <c r="I257" t="e">
        <f>SUMIF([1]Mapeamento!$J:$J,A257,[1]Mapeamento!$L:$L)</f>
        <v>#VALUE!</v>
      </c>
      <c r="J257" s="1" t="e">
        <f>SUMIF('[1]Map_Meso-Ox'!$C:$C,A257,'[1]Map_Meso-Ox'!$D:$D)</f>
        <v>#VALUE!</v>
      </c>
      <c r="K257" s="2" t="e">
        <f t="shared" si="6"/>
        <v>#VALUE!</v>
      </c>
      <c r="L257" s="1" t="e">
        <f>SUMIF('[1]Map_Meso-Ox'!$C:$C,A257,'[1]Map_Meso-Ox'!$E:$E)</f>
        <v>#VALUE!</v>
      </c>
      <c r="M257" s="2" t="e">
        <f t="shared" si="7"/>
        <v>#VALUE!</v>
      </c>
    </row>
    <row r="258" spans="1:13" x14ac:dyDescent="0.25">
      <c r="A258">
        <v>37</v>
      </c>
      <c r="B258">
        <v>2</v>
      </c>
      <c r="C258">
        <v>47.143000000000001</v>
      </c>
      <c r="D258">
        <v>0</v>
      </c>
      <c r="E258" t="s">
        <v>7</v>
      </c>
      <c r="F258">
        <v>1</v>
      </c>
      <c r="G258">
        <f>COUNTIF(E:E,E258)</f>
        <v>110</v>
      </c>
      <c r="H258">
        <f>COUNTIFS(E:E,E258,A:A,A258,D:D,D258)</f>
        <v>1</v>
      </c>
      <c r="I258" t="e">
        <f>SUMIF([1]Mapeamento!$J:$J,A258,[1]Mapeamento!$L:$L)</f>
        <v>#VALUE!</v>
      </c>
      <c r="J258" s="1" t="e">
        <f>SUMIF('[1]Map_Meso-Ox'!$C:$C,A258,'[1]Map_Meso-Ox'!$D:$D)</f>
        <v>#VALUE!</v>
      </c>
      <c r="K258" s="2" t="e">
        <f t="shared" si="6"/>
        <v>#VALUE!</v>
      </c>
      <c r="L258" s="1" t="e">
        <f>SUMIF('[1]Map_Meso-Ox'!$C:$C,A258,'[1]Map_Meso-Ox'!$E:$E)</f>
        <v>#VALUE!</v>
      </c>
      <c r="M258" s="2" t="e">
        <f t="shared" si="7"/>
        <v>#VALUE!</v>
      </c>
    </row>
    <row r="259" spans="1:13" x14ac:dyDescent="0.25">
      <c r="A259">
        <v>38</v>
      </c>
      <c r="B259">
        <v>2</v>
      </c>
      <c r="C259">
        <v>24.763000000000002</v>
      </c>
      <c r="D259">
        <v>0.26629999999999998</v>
      </c>
      <c r="E259" t="s">
        <v>7</v>
      </c>
      <c r="F259">
        <v>0</v>
      </c>
      <c r="G259">
        <f>COUNTIF(E:E,E259)</f>
        <v>110</v>
      </c>
      <c r="H259">
        <f>COUNTIFS(E:E,E259,A:A,A259,D:D,D259)</f>
        <v>1</v>
      </c>
      <c r="I259" t="e">
        <f>SUMIF([1]Mapeamento!$J:$J,A259,[1]Mapeamento!$L:$L)</f>
        <v>#VALUE!</v>
      </c>
      <c r="J259" s="1" t="e">
        <f>SUMIF('[1]Map_Meso-Ox'!$C:$C,A259,'[1]Map_Meso-Ox'!$D:$D)</f>
        <v>#VALUE!</v>
      </c>
      <c r="K259" s="2" t="e">
        <f t="shared" ref="K259:K322" si="8">J259/203401269</f>
        <v>#VALUE!</v>
      </c>
      <c r="L259" s="1" t="e">
        <f>SUMIF('[1]Map_Meso-Ox'!$C:$C,A259,'[1]Map_Meso-Ox'!$E:$E)</f>
        <v>#VALUE!</v>
      </c>
      <c r="M259" s="2" t="e">
        <f t="shared" ref="M259:M322" si="9">L259/3868725997.715</f>
        <v>#VALUE!</v>
      </c>
    </row>
    <row r="260" spans="1:13" x14ac:dyDescent="0.25">
      <c r="A260">
        <v>39</v>
      </c>
      <c r="B260">
        <v>2</v>
      </c>
      <c r="C260">
        <v>46.792999999999999</v>
      </c>
      <c r="D260">
        <v>0</v>
      </c>
      <c r="E260" t="s">
        <v>7</v>
      </c>
      <c r="F260">
        <v>1</v>
      </c>
      <c r="G260">
        <f>COUNTIF(E:E,E260)</f>
        <v>110</v>
      </c>
      <c r="H260">
        <f>COUNTIFS(E:E,E260,A:A,A260,D:D,D260)</f>
        <v>1</v>
      </c>
      <c r="I260" t="e">
        <f>SUMIF([1]Mapeamento!$J:$J,A260,[1]Mapeamento!$L:$L)</f>
        <v>#VALUE!</v>
      </c>
      <c r="J260" s="1" t="e">
        <f>SUMIF('[1]Map_Meso-Ox'!$C:$C,A260,'[1]Map_Meso-Ox'!$D:$D)</f>
        <v>#VALUE!</v>
      </c>
      <c r="K260" s="2" t="e">
        <f t="shared" si="8"/>
        <v>#VALUE!</v>
      </c>
      <c r="L260" s="1" t="e">
        <f>SUMIF('[1]Map_Meso-Ox'!$C:$C,A260,'[1]Map_Meso-Ox'!$E:$E)</f>
        <v>#VALUE!</v>
      </c>
      <c r="M260" s="2" t="e">
        <f t="shared" si="9"/>
        <v>#VALUE!</v>
      </c>
    </row>
    <row r="261" spans="1:13" x14ac:dyDescent="0.25">
      <c r="A261">
        <v>40</v>
      </c>
      <c r="B261">
        <v>2</v>
      </c>
      <c r="C261">
        <v>37.965000000000003</v>
      </c>
      <c r="D261">
        <v>1.01E-2</v>
      </c>
      <c r="E261" t="s">
        <v>7</v>
      </c>
      <c r="F261">
        <v>1</v>
      </c>
      <c r="G261">
        <f>COUNTIF(E:E,E261)</f>
        <v>110</v>
      </c>
      <c r="H261">
        <f>COUNTIFS(E:E,E261,A:A,A261,D:D,D261)</f>
        <v>1</v>
      </c>
      <c r="I261" t="e">
        <f>SUMIF([1]Mapeamento!$J:$J,A261,[1]Mapeamento!$L:$L)</f>
        <v>#VALUE!</v>
      </c>
      <c r="J261" s="1" t="e">
        <f>SUMIF('[1]Map_Meso-Ox'!$C:$C,A261,'[1]Map_Meso-Ox'!$D:$D)</f>
        <v>#VALUE!</v>
      </c>
      <c r="K261" s="2" t="e">
        <f t="shared" si="8"/>
        <v>#VALUE!</v>
      </c>
      <c r="L261" s="1" t="e">
        <f>SUMIF('[1]Map_Meso-Ox'!$C:$C,A261,'[1]Map_Meso-Ox'!$E:$E)</f>
        <v>#VALUE!</v>
      </c>
      <c r="M261" s="2" t="e">
        <f t="shared" si="9"/>
        <v>#VALUE!</v>
      </c>
    </row>
    <row r="262" spans="1:13" x14ac:dyDescent="0.25">
      <c r="A262">
        <v>41</v>
      </c>
      <c r="B262">
        <v>2</v>
      </c>
      <c r="C262">
        <v>39.593000000000004</v>
      </c>
      <c r="D262">
        <v>5.0000000000000001E-3</v>
      </c>
      <c r="E262" t="s">
        <v>7</v>
      </c>
      <c r="F262">
        <v>1</v>
      </c>
      <c r="G262">
        <f>COUNTIF(E:E,E262)</f>
        <v>110</v>
      </c>
      <c r="H262">
        <f>COUNTIFS(E:E,E262,A:A,A262,D:D,D262)</f>
        <v>1</v>
      </c>
      <c r="I262" t="e">
        <f>SUMIF([1]Mapeamento!$J:$J,A262,[1]Mapeamento!$L:$L)</f>
        <v>#VALUE!</v>
      </c>
      <c r="J262" s="1" t="e">
        <f>SUMIF('[1]Map_Meso-Ox'!$C:$C,A262,'[1]Map_Meso-Ox'!$D:$D)</f>
        <v>#VALUE!</v>
      </c>
      <c r="K262" s="2" t="e">
        <f t="shared" si="8"/>
        <v>#VALUE!</v>
      </c>
      <c r="L262" s="1" t="e">
        <f>SUMIF('[1]Map_Meso-Ox'!$C:$C,A262,'[1]Map_Meso-Ox'!$E:$E)</f>
        <v>#VALUE!</v>
      </c>
      <c r="M262" s="2" t="e">
        <f t="shared" si="9"/>
        <v>#VALUE!</v>
      </c>
    </row>
    <row r="263" spans="1:13" x14ac:dyDescent="0.25">
      <c r="A263">
        <v>42</v>
      </c>
      <c r="B263">
        <v>2</v>
      </c>
      <c r="C263">
        <v>43.668999999999997</v>
      </c>
      <c r="D263">
        <v>2.01E-2</v>
      </c>
      <c r="E263" t="s">
        <v>7</v>
      </c>
      <c r="F263">
        <v>0</v>
      </c>
      <c r="G263">
        <f>COUNTIF(E:E,E263)</f>
        <v>110</v>
      </c>
      <c r="H263">
        <f>COUNTIFS(E:E,E263,A:A,A263,D:D,D263)</f>
        <v>1</v>
      </c>
      <c r="I263" t="e">
        <f>SUMIF([1]Mapeamento!$J:$J,A263,[1]Mapeamento!$L:$L)</f>
        <v>#VALUE!</v>
      </c>
      <c r="J263" s="1" t="e">
        <f>SUMIF('[1]Map_Meso-Ox'!$C:$C,A263,'[1]Map_Meso-Ox'!$D:$D)</f>
        <v>#VALUE!</v>
      </c>
      <c r="K263" s="2" t="e">
        <f t="shared" si="8"/>
        <v>#VALUE!</v>
      </c>
      <c r="L263" s="1" t="e">
        <f>SUMIF('[1]Map_Meso-Ox'!$C:$C,A263,'[1]Map_Meso-Ox'!$E:$E)</f>
        <v>#VALUE!</v>
      </c>
      <c r="M263" s="2" t="e">
        <f t="shared" si="9"/>
        <v>#VALUE!</v>
      </c>
    </row>
    <row r="264" spans="1:13" x14ac:dyDescent="0.25">
      <c r="A264">
        <v>43</v>
      </c>
      <c r="B264">
        <v>2</v>
      </c>
      <c r="C264">
        <v>20.936</v>
      </c>
      <c r="D264">
        <v>0.37690000000000001</v>
      </c>
      <c r="E264" t="s">
        <v>7</v>
      </c>
      <c r="F264">
        <v>0</v>
      </c>
      <c r="G264">
        <f>COUNTIF(E:E,E264)</f>
        <v>110</v>
      </c>
      <c r="H264">
        <f>COUNTIFS(E:E,E264,A:A,A264,D:D,D264)</f>
        <v>1</v>
      </c>
      <c r="I264" t="e">
        <f>SUMIF([1]Mapeamento!$J:$J,A264,[1]Mapeamento!$L:$L)</f>
        <v>#VALUE!</v>
      </c>
      <c r="J264" s="1" t="e">
        <f>SUMIF('[1]Map_Meso-Ox'!$C:$C,A264,'[1]Map_Meso-Ox'!$D:$D)</f>
        <v>#VALUE!</v>
      </c>
      <c r="K264" s="2" t="e">
        <f t="shared" si="8"/>
        <v>#VALUE!</v>
      </c>
      <c r="L264" s="1" t="e">
        <f>SUMIF('[1]Map_Meso-Ox'!$C:$C,A264,'[1]Map_Meso-Ox'!$E:$E)</f>
        <v>#VALUE!</v>
      </c>
      <c r="M264" s="2" t="e">
        <f t="shared" si="9"/>
        <v>#VALUE!</v>
      </c>
    </row>
    <row r="265" spans="1:13" x14ac:dyDescent="0.25">
      <c r="A265">
        <v>44</v>
      </c>
      <c r="B265">
        <v>2</v>
      </c>
      <c r="C265">
        <v>33.585999999999999</v>
      </c>
      <c r="D265">
        <v>9.5500000000000002E-2</v>
      </c>
      <c r="E265" t="s">
        <v>7</v>
      </c>
      <c r="F265">
        <v>0</v>
      </c>
      <c r="G265">
        <f>COUNTIF(E:E,E265)</f>
        <v>110</v>
      </c>
      <c r="H265">
        <f>COUNTIFS(E:E,E265,A:A,A265,D:D,D265)</f>
        <v>1</v>
      </c>
      <c r="I265" t="e">
        <f>SUMIF([1]Mapeamento!$J:$J,A265,[1]Mapeamento!$L:$L)</f>
        <v>#VALUE!</v>
      </c>
      <c r="J265" s="1" t="e">
        <f>SUMIF('[1]Map_Meso-Ox'!$C:$C,A265,'[1]Map_Meso-Ox'!$D:$D)</f>
        <v>#VALUE!</v>
      </c>
      <c r="K265" s="2" t="e">
        <f t="shared" si="8"/>
        <v>#VALUE!</v>
      </c>
      <c r="L265" s="1" t="e">
        <f>SUMIF('[1]Map_Meso-Ox'!$C:$C,A265,'[1]Map_Meso-Ox'!$E:$E)</f>
        <v>#VALUE!</v>
      </c>
      <c r="M265" s="2" t="e">
        <f t="shared" si="9"/>
        <v>#VALUE!</v>
      </c>
    </row>
    <row r="266" spans="1:13" x14ac:dyDescent="0.25">
      <c r="A266">
        <v>45</v>
      </c>
      <c r="B266">
        <v>2</v>
      </c>
      <c r="C266">
        <v>36.503999999999998</v>
      </c>
      <c r="D266">
        <v>1.5100000000000001E-2</v>
      </c>
      <c r="E266" t="s">
        <v>7</v>
      </c>
      <c r="F266">
        <v>2</v>
      </c>
      <c r="G266">
        <f>COUNTIF(E:E,E266)</f>
        <v>110</v>
      </c>
      <c r="H266">
        <f>COUNTIFS(E:E,E266,A:A,A266,D:D,D266)</f>
        <v>1</v>
      </c>
      <c r="I266" t="e">
        <f>SUMIF([1]Mapeamento!$J:$J,A266,[1]Mapeamento!$L:$L)</f>
        <v>#VALUE!</v>
      </c>
      <c r="J266" s="1" t="e">
        <f>SUMIF('[1]Map_Meso-Ox'!$C:$C,A266,'[1]Map_Meso-Ox'!$D:$D)</f>
        <v>#VALUE!</v>
      </c>
      <c r="K266" s="2" t="e">
        <f t="shared" si="8"/>
        <v>#VALUE!</v>
      </c>
      <c r="L266" s="1" t="e">
        <f>SUMIF('[1]Map_Meso-Ox'!$C:$C,A266,'[1]Map_Meso-Ox'!$E:$E)</f>
        <v>#VALUE!</v>
      </c>
      <c r="M266" s="2" t="e">
        <f t="shared" si="9"/>
        <v>#VALUE!</v>
      </c>
    </row>
    <row r="267" spans="1:13" x14ac:dyDescent="0.25">
      <c r="A267">
        <v>46</v>
      </c>
      <c r="B267">
        <v>2</v>
      </c>
      <c r="C267">
        <v>47.052999999999997</v>
      </c>
      <c r="D267">
        <v>0</v>
      </c>
      <c r="E267" t="s">
        <v>7</v>
      </c>
      <c r="F267">
        <v>0</v>
      </c>
      <c r="G267">
        <f>COUNTIF(E:E,E267)</f>
        <v>110</v>
      </c>
      <c r="H267">
        <f>COUNTIFS(E:E,E267,A:A,A267,D:D,D267)</f>
        <v>1</v>
      </c>
      <c r="I267" t="e">
        <f>SUMIF([1]Mapeamento!$J:$J,A267,[1]Mapeamento!$L:$L)</f>
        <v>#VALUE!</v>
      </c>
      <c r="J267" s="1" t="e">
        <f>SUMIF('[1]Map_Meso-Ox'!$C:$C,A267,'[1]Map_Meso-Ox'!$D:$D)</f>
        <v>#VALUE!</v>
      </c>
      <c r="K267" s="2" t="e">
        <f t="shared" si="8"/>
        <v>#VALUE!</v>
      </c>
      <c r="L267" s="1" t="e">
        <f>SUMIF('[1]Map_Meso-Ox'!$C:$C,A267,'[1]Map_Meso-Ox'!$E:$E)</f>
        <v>#VALUE!</v>
      </c>
      <c r="M267" s="2" t="e">
        <f t="shared" si="9"/>
        <v>#VALUE!</v>
      </c>
    </row>
    <row r="268" spans="1:13" x14ac:dyDescent="0.25">
      <c r="A268">
        <v>47</v>
      </c>
      <c r="B268">
        <v>2</v>
      </c>
      <c r="C268">
        <v>34.487000000000002</v>
      </c>
      <c r="D268">
        <v>5.0299999999999997E-2</v>
      </c>
      <c r="E268" t="s">
        <v>7</v>
      </c>
      <c r="F268">
        <v>0</v>
      </c>
      <c r="G268">
        <f>COUNTIF(E:E,E268)</f>
        <v>110</v>
      </c>
      <c r="H268">
        <f>COUNTIFS(E:E,E268,A:A,A268,D:D,D268)</f>
        <v>1</v>
      </c>
      <c r="I268" t="e">
        <f>SUMIF([1]Mapeamento!$J:$J,A268,[1]Mapeamento!$L:$L)</f>
        <v>#VALUE!</v>
      </c>
      <c r="J268" s="1" t="e">
        <f>SUMIF('[1]Map_Meso-Ox'!$C:$C,A268,'[1]Map_Meso-Ox'!$D:$D)</f>
        <v>#VALUE!</v>
      </c>
      <c r="K268" s="2" t="e">
        <f t="shared" si="8"/>
        <v>#VALUE!</v>
      </c>
      <c r="L268" s="1" t="e">
        <f>SUMIF('[1]Map_Meso-Ox'!$C:$C,A268,'[1]Map_Meso-Ox'!$E:$E)</f>
        <v>#VALUE!</v>
      </c>
      <c r="M268" s="2" t="e">
        <f t="shared" si="9"/>
        <v>#VALUE!</v>
      </c>
    </row>
    <row r="269" spans="1:13" x14ac:dyDescent="0.25">
      <c r="A269">
        <v>48</v>
      </c>
      <c r="B269">
        <v>2</v>
      </c>
      <c r="C269">
        <v>23.896999999999998</v>
      </c>
      <c r="D269">
        <v>0.29149999999999998</v>
      </c>
      <c r="E269" t="s">
        <v>7</v>
      </c>
      <c r="F269">
        <v>0</v>
      </c>
      <c r="G269">
        <f>COUNTIF(E:E,E269)</f>
        <v>110</v>
      </c>
      <c r="H269">
        <f>COUNTIFS(E:E,E269,A:A,A269,D:D,D269)</f>
        <v>1</v>
      </c>
      <c r="I269" t="e">
        <f>SUMIF([1]Mapeamento!$J:$J,A269,[1]Mapeamento!$L:$L)</f>
        <v>#VALUE!</v>
      </c>
      <c r="J269" s="1" t="e">
        <f>SUMIF('[1]Map_Meso-Ox'!$C:$C,A269,'[1]Map_Meso-Ox'!$D:$D)</f>
        <v>#VALUE!</v>
      </c>
      <c r="K269" s="2" t="e">
        <f t="shared" si="8"/>
        <v>#VALUE!</v>
      </c>
      <c r="L269" s="1" t="e">
        <f>SUMIF('[1]Map_Meso-Ox'!$C:$C,A269,'[1]Map_Meso-Ox'!$E:$E)</f>
        <v>#VALUE!</v>
      </c>
      <c r="M269" s="2" t="e">
        <f t="shared" si="9"/>
        <v>#VALUE!</v>
      </c>
    </row>
    <row r="270" spans="1:13" x14ac:dyDescent="0.25">
      <c r="A270">
        <v>49</v>
      </c>
      <c r="B270">
        <v>2</v>
      </c>
      <c r="C270">
        <v>32.142000000000003</v>
      </c>
      <c r="D270">
        <v>0.15579999999999999</v>
      </c>
      <c r="E270" t="s">
        <v>7</v>
      </c>
      <c r="F270">
        <v>0</v>
      </c>
      <c r="G270">
        <f>COUNTIF(E:E,E270)</f>
        <v>110</v>
      </c>
      <c r="H270">
        <f>COUNTIFS(E:E,E270,A:A,A270,D:D,D270)</f>
        <v>1</v>
      </c>
      <c r="I270" t="e">
        <f>SUMIF([1]Mapeamento!$J:$J,A270,[1]Mapeamento!$L:$L)</f>
        <v>#VALUE!</v>
      </c>
      <c r="J270" s="1" t="e">
        <f>SUMIF('[1]Map_Meso-Ox'!$C:$C,A270,'[1]Map_Meso-Ox'!$D:$D)</f>
        <v>#VALUE!</v>
      </c>
      <c r="K270" s="2" t="e">
        <f t="shared" si="8"/>
        <v>#VALUE!</v>
      </c>
      <c r="L270" s="1" t="e">
        <f>SUMIF('[1]Map_Meso-Ox'!$C:$C,A270,'[1]Map_Meso-Ox'!$E:$E)</f>
        <v>#VALUE!</v>
      </c>
      <c r="M270" s="2" t="e">
        <f t="shared" si="9"/>
        <v>#VALUE!</v>
      </c>
    </row>
    <row r="271" spans="1:13" x14ac:dyDescent="0.25">
      <c r="A271">
        <v>50</v>
      </c>
      <c r="B271">
        <v>2</v>
      </c>
      <c r="C271">
        <v>43.899000000000001</v>
      </c>
      <c r="D271">
        <v>2.01E-2</v>
      </c>
      <c r="E271" t="s">
        <v>7</v>
      </c>
      <c r="F271">
        <v>0</v>
      </c>
      <c r="G271">
        <f>COUNTIF(E:E,E271)</f>
        <v>110</v>
      </c>
      <c r="H271">
        <f>COUNTIFS(E:E,E271,A:A,A271,D:D,D271)</f>
        <v>1</v>
      </c>
      <c r="I271" t="e">
        <f>SUMIF([1]Mapeamento!$J:$J,A271,[1]Mapeamento!$L:$L)</f>
        <v>#VALUE!</v>
      </c>
      <c r="J271" s="1" t="e">
        <f>SUMIF('[1]Map_Meso-Ox'!$C:$C,A271,'[1]Map_Meso-Ox'!$D:$D)</f>
        <v>#VALUE!</v>
      </c>
      <c r="K271" s="2" t="e">
        <f t="shared" si="8"/>
        <v>#VALUE!</v>
      </c>
      <c r="L271" s="1" t="e">
        <f>SUMIF('[1]Map_Meso-Ox'!$C:$C,A271,'[1]Map_Meso-Ox'!$E:$E)</f>
        <v>#VALUE!</v>
      </c>
      <c r="M271" s="2" t="e">
        <f t="shared" si="9"/>
        <v>#VALUE!</v>
      </c>
    </row>
    <row r="272" spans="1:13" x14ac:dyDescent="0.25">
      <c r="A272">
        <v>51</v>
      </c>
      <c r="B272">
        <v>2</v>
      </c>
      <c r="C272">
        <v>28.702999999999999</v>
      </c>
      <c r="D272">
        <v>0.38690000000000002</v>
      </c>
      <c r="E272" t="s">
        <v>7</v>
      </c>
      <c r="F272">
        <v>0</v>
      </c>
      <c r="G272">
        <f>COUNTIF(E:E,E272)</f>
        <v>110</v>
      </c>
      <c r="H272">
        <f>COUNTIFS(E:E,E272,A:A,A272,D:D,D272)</f>
        <v>1</v>
      </c>
      <c r="I272" t="e">
        <f>SUMIF([1]Mapeamento!$J:$J,A272,[1]Mapeamento!$L:$L)</f>
        <v>#VALUE!</v>
      </c>
      <c r="J272" s="1" t="e">
        <f>SUMIF('[1]Map_Meso-Ox'!$C:$C,A272,'[1]Map_Meso-Ox'!$D:$D)</f>
        <v>#VALUE!</v>
      </c>
      <c r="K272" s="2" t="e">
        <f t="shared" si="8"/>
        <v>#VALUE!</v>
      </c>
      <c r="L272" s="1" t="e">
        <f>SUMIF('[1]Map_Meso-Ox'!$C:$C,A272,'[1]Map_Meso-Ox'!$E:$E)</f>
        <v>#VALUE!</v>
      </c>
      <c r="M272" s="2" t="e">
        <f t="shared" si="9"/>
        <v>#VALUE!</v>
      </c>
    </row>
    <row r="273" spans="1:13" x14ac:dyDescent="0.25">
      <c r="A273">
        <v>52</v>
      </c>
      <c r="B273">
        <v>2</v>
      </c>
      <c r="C273">
        <v>60.38</v>
      </c>
      <c r="D273">
        <v>0</v>
      </c>
      <c r="E273" t="s">
        <v>7</v>
      </c>
      <c r="F273">
        <v>1</v>
      </c>
      <c r="G273">
        <f>COUNTIF(E:E,E273)</f>
        <v>110</v>
      </c>
      <c r="H273">
        <f>COUNTIFS(E:E,E273,A:A,A273,D:D,D273)</f>
        <v>1</v>
      </c>
      <c r="I273" t="e">
        <f>SUMIF([1]Mapeamento!$J:$J,A273,[1]Mapeamento!$L:$L)</f>
        <v>#VALUE!</v>
      </c>
      <c r="J273" s="1" t="e">
        <f>SUMIF('[1]Map_Meso-Ox'!$C:$C,A273,'[1]Map_Meso-Ox'!$D:$D)</f>
        <v>#VALUE!</v>
      </c>
      <c r="K273" s="2" t="e">
        <f t="shared" si="8"/>
        <v>#VALUE!</v>
      </c>
      <c r="L273" s="1" t="e">
        <f>SUMIF('[1]Map_Meso-Ox'!$C:$C,A273,'[1]Map_Meso-Ox'!$E:$E)</f>
        <v>#VALUE!</v>
      </c>
      <c r="M273" s="2" t="e">
        <f t="shared" si="9"/>
        <v>#VALUE!</v>
      </c>
    </row>
    <row r="274" spans="1:13" x14ac:dyDescent="0.25">
      <c r="A274">
        <v>53</v>
      </c>
      <c r="B274">
        <v>2</v>
      </c>
      <c r="C274">
        <v>45.39</v>
      </c>
      <c r="D274">
        <v>0</v>
      </c>
      <c r="E274" t="s">
        <v>7</v>
      </c>
      <c r="F274">
        <v>3</v>
      </c>
      <c r="G274">
        <f>COUNTIF(E:E,E274)</f>
        <v>110</v>
      </c>
      <c r="H274">
        <f>COUNTIFS(E:E,E274,A:A,A274,D:D,D274)</f>
        <v>1</v>
      </c>
      <c r="I274" t="e">
        <f>SUMIF([1]Mapeamento!$J:$J,A274,[1]Mapeamento!$L:$L)</f>
        <v>#VALUE!</v>
      </c>
      <c r="J274" s="1" t="e">
        <f>SUMIF('[1]Map_Meso-Ox'!$C:$C,A274,'[1]Map_Meso-Ox'!$D:$D)</f>
        <v>#VALUE!</v>
      </c>
      <c r="K274" s="2" t="e">
        <f t="shared" si="8"/>
        <v>#VALUE!</v>
      </c>
      <c r="L274" s="1" t="e">
        <f>SUMIF('[1]Map_Meso-Ox'!$C:$C,A274,'[1]Map_Meso-Ox'!$E:$E)</f>
        <v>#VALUE!</v>
      </c>
      <c r="M274" s="2" t="e">
        <f t="shared" si="9"/>
        <v>#VALUE!</v>
      </c>
    </row>
    <row r="275" spans="1:13" x14ac:dyDescent="0.25">
      <c r="A275">
        <v>54</v>
      </c>
      <c r="B275">
        <v>2</v>
      </c>
      <c r="C275">
        <v>36.249000000000002</v>
      </c>
      <c r="D275">
        <v>4.02E-2</v>
      </c>
      <c r="E275" t="s">
        <v>7</v>
      </c>
      <c r="F275">
        <v>1</v>
      </c>
      <c r="G275">
        <f>COUNTIF(E:E,E275)</f>
        <v>110</v>
      </c>
      <c r="H275">
        <f>COUNTIFS(E:E,E275,A:A,A275,D:D,D275)</f>
        <v>1</v>
      </c>
      <c r="I275" t="e">
        <f>SUMIF([1]Mapeamento!$J:$J,A275,[1]Mapeamento!$L:$L)</f>
        <v>#VALUE!</v>
      </c>
      <c r="J275" s="1" t="e">
        <f>SUMIF('[1]Map_Meso-Ox'!$C:$C,A275,'[1]Map_Meso-Ox'!$D:$D)</f>
        <v>#VALUE!</v>
      </c>
      <c r="K275" s="2" t="e">
        <f t="shared" si="8"/>
        <v>#VALUE!</v>
      </c>
      <c r="L275" s="1" t="e">
        <f>SUMIF('[1]Map_Meso-Ox'!$C:$C,A275,'[1]Map_Meso-Ox'!$E:$E)</f>
        <v>#VALUE!</v>
      </c>
      <c r="M275" s="2" t="e">
        <f t="shared" si="9"/>
        <v>#VALUE!</v>
      </c>
    </row>
    <row r="276" spans="1:13" x14ac:dyDescent="0.25">
      <c r="A276">
        <v>55</v>
      </c>
      <c r="B276">
        <v>2</v>
      </c>
      <c r="C276">
        <v>27.594000000000001</v>
      </c>
      <c r="D276">
        <v>0.10050000000000001</v>
      </c>
      <c r="E276" t="s">
        <v>7</v>
      </c>
      <c r="F276">
        <v>1</v>
      </c>
      <c r="G276">
        <f>COUNTIF(E:E,E276)</f>
        <v>110</v>
      </c>
      <c r="H276">
        <f>COUNTIFS(E:E,E276,A:A,A276,D:D,D276)</f>
        <v>1</v>
      </c>
      <c r="I276" t="e">
        <f>SUMIF([1]Mapeamento!$J:$J,A276,[1]Mapeamento!$L:$L)</f>
        <v>#VALUE!</v>
      </c>
      <c r="J276" s="1" t="e">
        <f>SUMIF('[1]Map_Meso-Ox'!$C:$C,A276,'[1]Map_Meso-Ox'!$D:$D)</f>
        <v>#VALUE!</v>
      </c>
      <c r="K276" s="2" t="e">
        <f t="shared" si="8"/>
        <v>#VALUE!</v>
      </c>
      <c r="L276" s="1" t="e">
        <f>SUMIF('[1]Map_Meso-Ox'!$C:$C,A276,'[1]Map_Meso-Ox'!$E:$E)</f>
        <v>#VALUE!</v>
      </c>
      <c r="M276" s="2" t="e">
        <f t="shared" si="9"/>
        <v>#VALUE!</v>
      </c>
    </row>
    <row r="277" spans="1:13" x14ac:dyDescent="0.25">
      <c r="A277">
        <v>56</v>
      </c>
      <c r="B277">
        <v>2</v>
      </c>
      <c r="C277">
        <v>33.170999999999999</v>
      </c>
      <c r="D277">
        <v>9.5500000000000002E-2</v>
      </c>
      <c r="E277" t="s">
        <v>7</v>
      </c>
      <c r="F277">
        <v>1</v>
      </c>
      <c r="G277">
        <f>COUNTIF(E:E,E277)</f>
        <v>110</v>
      </c>
      <c r="H277">
        <f>COUNTIFS(E:E,E277,A:A,A277,D:D,D277)</f>
        <v>1</v>
      </c>
      <c r="I277" t="e">
        <f>SUMIF([1]Mapeamento!$J:$J,A277,[1]Mapeamento!$L:$L)</f>
        <v>#VALUE!</v>
      </c>
      <c r="J277" s="1" t="e">
        <f>SUMIF('[1]Map_Meso-Ox'!$C:$C,A277,'[1]Map_Meso-Ox'!$D:$D)</f>
        <v>#VALUE!</v>
      </c>
      <c r="K277" s="2" t="e">
        <f t="shared" si="8"/>
        <v>#VALUE!</v>
      </c>
      <c r="L277" s="1" t="e">
        <f>SUMIF('[1]Map_Meso-Ox'!$C:$C,A277,'[1]Map_Meso-Ox'!$E:$E)</f>
        <v>#VALUE!</v>
      </c>
      <c r="M277" s="2" t="e">
        <f t="shared" si="9"/>
        <v>#VALUE!</v>
      </c>
    </row>
    <row r="278" spans="1:13" x14ac:dyDescent="0.25">
      <c r="A278">
        <v>57</v>
      </c>
      <c r="B278">
        <v>2</v>
      </c>
      <c r="C278">
        <v>39.094999999999999</v>
      </c>
      <c r="D278">
        <v>1.01E-2</v>
      </c>
      <c r="E278" t="s">
        <v>7</v>
      </c>
      <c r="F278">
        <v>0</v>
      </c>
      <c r="G278">
        <f>COUNTIF(E:E,E278)</f>
        <v>110</v>
      </c>
      <c r="H278">
        <f>COUNTIFS(E:E,E278,A:A,A278,D:D,D278)</f>
        <v>1</v>
      </c>
      <c r="I278" t="e">
        <f>SUMIF([1]Mapeamento!$J:$J,A278,[1]Mapeamento!$L:$L)</f>
        <v>#VALUE!</v>
      </c>
      <c r="J278" s="1" t="e">
        <f>SUMIF('[1]Map_Meso-Ox'!$C:$C,A278,'[1]Map_Meso-Ox'!$D:$D)</f>
        <v>#VALUE!</v>
      </c>
      <c r="K278" s="2" t="e">
        <f t="shared" si="8"/>
        <v>#VALUE!</v>
      </c>
      <c r="L278" s="1" t="e">
        <f>SUMIF('[1]Map_Meso-Ox'!$C:$C,A278,'[1]Map_Meso-Ox'!$E:$E)</f>
        <v>#VALUE!</v>
      </c>
      <c r="M278" s="2" t="e">
        <f t="shared" si="9"/>
        <v>#VALUE!</v>
      </c>
    </row>
    <row r="279" spans="1:13" x14ac:dyDescent="0.25">
      <c r="A279">
        <v>58</v>
      </c>
      <c r="B279">
        <v>2</v>
      </c>
      <c r="C279">
        <v>25.51</v>
      </c>
      <c r="D279">
        <v>0.12559999999999999</v>
      </c>
      <c r="E279" t="s">
        <v>7</v>
      </c>
      <c r="F279">
        <v>1</v>
      </c>
      <c r="G279">
        <f>COUNTIF(E:E,E279)</f>
        <v>110</v>
      </c>
      <c r="H279">
        <f>COUNTIFS(E:E,E279,A:A,A279,D:D,D279)</f>
        <v>1</v>
      </c>
      <c r="I279" t="e">
        <f>SUMIF([1]Mapeamento!$J:$J,A279,[1]Mapeamento!$L:$L)</f>
        <v>#VALUE!</v>
      </c>
      <c r="J279" s="1" t="e">
        <f>SUMIF('[1]Map_Meso-Ox'!$C:$C,A279,'[1]Map_Meso-Ox'!$D:$D)</f>
        <v>#VALUE!</v>
      </c>
      <c r="K279" s="2" t="e">
        <f t="shared" si="8"/>
        <v>#VALUE!</v>
      </c>
      <c r="L279" s="1" t="e">
        <f>SUMIF('[1]Map_Meso-Ox'!$C:$C,A279,'[1]Map_Meso-Ox'!$E:$E)</f>
        <v>#VALUE!</v>
      </c>
      <c r="M279" s="2" t="e">
        <f t="shared" si="9"/>
        <v>#VALUE!</v>
      </c>
    </row>
    <row r="280" spans="1:13" x14ac:dyDescent="0.25">
      <c r="A280">
        <v>59</v>
      </c>
      <c r="B280">
        <v>2</v>
      </c>
      <c r="C280">
        <v>24.181000000000001</v>
      </c>
      <c r="D280">
        <v>0.22109999999999999</v>
      </c>
      <c r="E280" t="s">
        <v>7</v>
      </c>
      <c r="F280">
        <v>1</v>
      </c>
      <c r="G280">
        <f>COUNTIF(E:E,E280)</f>
        <v>110</v>
      </c>
      <c r="H280">
        <f>COUNTIFS(E:E,E280,A:A,A280,D:D,D280)</f>
        <v>1</v>
      </c>
      <c r="I280" t="e">
        <f>SUMIF([1]Mapeamento!$J:$J,A280,[1]Mapeamento!$L:$L)</f>
        <v>#VALUE!</v>
      </c>
      <c r="J280" s="1" t="e">
        <f>SUMIF('[1]Map_Meso-Ox'!$C:$C,A280,'[1]Map_Meso-Ox'!$D:$D)</f>
        <v>#VALUE!</v>
      </c>
      <c r="K280" s="2" t="e">
        <f t="shared" si="8"/>
        <v>#VALUE!</v>
      </c>
      <c r="L280" s="1" t="e">
        <f>SUMIF('[1]Map_Meso-Ox'!$C:$C,A280,'[1]Map_Meso-Ox'!$E:$E)</f>
        <v>#VALUE!</v>
      </c>
      <c r="M280" s="2" t="e">
        <f t="shared" si="9"/>
        <v>#VALUE!</v>
      </c>
    </row>
    <row r="281" spans="1:13" x14ac:dyDescent="0.25">
      <c r="A281">
        <v>60</v>
      </c>
      <c r="B281">
        <v>2</v>
      </c>
      <c r="C281">
        <v>31.497</v>
      </c>
      <c r="D281">
        <v>8.0399999999999999E-2</v>
      </c>
      <c r="E281" t="s">
        <v>7</v>
      </c>
      <c r="F281">
        <v>1</v>
      </c>
      <c r="G281">
        <f>COUNTIF(E:E,E281)</f>
        <v>110</v>
      </c>
      <c r="H281">
        <f>COUNTIFS(E:E,E281,A:A,A281,D:D,D281)</f>
        <v>1</v>
      </c>
      <c r="I281" t="e">
        <f>SUMIF([1]Mapeamento!$J:$J,A281,[1]Mapeamento!$L:$L)</f>
        <v>#VALUE!</v>
      </c>
      <c r="J281" s="1" t="e">
        <f>SUMIF('[1]Map_Meso-Ox'!$C:$C,A281,'[1]Map_Meso-Ox'!$D:$D)</f>
        <v>#VALUE!</v>
      </c>
      <c r="K281" s="2" t="e">
        <f t="shared" si="8"/>
        <v>#VALUE!</v>
      </c>
      <c r="L281" s="1" t="e">
        <f>SUMIF('[1]Map_Meso-Ox'!$C:$C,A281,'[1]Map_Meso-Ox'!$E:$E)</f>
        <v>#VALUE!</v>
      </c>
      <c r="M281" s="2" t="e">
        <f t="shared" si="9"/>
        <v>#VALUE!</v>
      </c>
    </row>
    <row r="282" spans="1:13" x14ac:dyDescent="0.25">
      <c r="A282">
        <v>61</v>
      </c>
      <c r="B282">
        <v>2</v>
      </c>
      <c r="C282">
        <v>29.771999999999998</v>
      </c>
      <c r="D282">
        <v>0.18590000000000001</v>
      </c>
      <c r="E282" t="s">
        <v>7</v>
      </c>
      <c r="F282">
        <v>0</v>
      </c>
      <c r="G282">
        <f>COUNTIF(E:E,E282)</f>
        <v>110</v>
      </c>
      <c r="H282">
        <f>COUNTIFS(E:E,E282,A:A,A282,D:D,D282)</f>
        <v>1</v>
      </c>
      <c r="I282" t="e">
        <f>SUMIF([1]Mapeamento!$J:$J,A282,[1]Mapeamento!$L:$L)</f>
        <v>#VALUE!</v>
      </c>
      <c r="J282" s="1" t="e">
        <f>SUMIF('[1]Map_Meso-Ox'!$C:$C,A282,'[1]Map_Meso-Ox'!$D:$D)</f>
        <v>#VALUE!</v>
      </c>
      <c r="K282" s="2" t="e">
        <f t="shared" si="8"/>
        <v>#VALUE!</v>
      </c>
      <c r="L282" s="1" t="e">
        <f>SUMIF('[1]Map_Meso-Ox'!$C:$C,A282,'[1]Map_Meso-Ox'!$E:$E)</f>
        <v>#VALUE!</v>
      </c>
      <c r="M282" s="2" t="e">
        <f t="shared" si="9"/>
        <v>#VALUE!</v>
      </c>
    </row>
    <row r="283" spans="1:13" x14ac:dyDescent="0.25">
      <c r="A283">
        <v>62</v>
      </c>
      <c r="B283">
        <v>2</v>
      </c>
      <c r="C283">
        <v>44.808</v>
      </c>
      <c r="D283">
        <v>5.0000000000000001E-3</v>
      </c>
      <c r="E283" t="s">
        <v>7</v>
      </c>
      <c r="F283">
        <v>1</v>
      </c>
      <c r="G283">
        <f>COUNTIF(E:E,E283)</f>
        <v>110</v>
      </c>
      <c r="H283">
        <f>COUNTIFS(E:E,E283,A:A,A283,D:D,D283)</f>
        <v>1</v>
      </c>
      <c r="I283" t="e">
        <f>SUMIF([1]Mapeamento!$J:$J,A283,[1]Mapeamento!$L:$L)</f>
        <v>#VALUE!</v>
      </c>
      <c r="J283" s="1" t="e">
        <f>SUMIF('[1]Map_Meso-Ox'!$C:$C,A283,'[1]Map_Meso-Ox'!$D:$D)</f>
        <v>#VALUE!</v>
      </c>
      <c r="K283" s="2" t="e">
        <f t="shared" si="8"/>
        <v>#VALUE!</v>
      </c>
      <c r="L283" s="1" t="e">
        <f>SUMIF('[1]Map_Meso-Ox'!$C:$C,A283,'[1]Map_Meso-Ox'!$E:$E)</f>
        <v>#VALUE!</v>
      </c>
      <c r="M283" s="2" t="e">
        <f t="shared" si="9"/>
        <v>#VALUE!</v>
      </c>
    </row>
    <row r="284" spans="1:13" x14ac:dyDescent="0.25">
      <c r="A284">
        <v>63</v>
      </c>
      <c r="B284">
        <v>2</v>
      </c>
      <c r="C284">
        <v>31.452999999999999</v>
      </c>
      <c r="D284">
        <v>4.02E-2</v>
      </c>
      <c r="E284" t="s">
        <v>7</v>
      </c>
      <c r="F284">
        <v>1</v>
      </c>
      <c r="G284">
        <f>COUNTIF(E:E,E284)</f>
        <v>110</v>
      </c>
      <c r="H284">
        <f>COUNTIFS(E:E,E284,A:A,A284,D:D,D284)</f>
        <v>1</v>
      </c>
      <c r="I284" t="e">
        <f>SUMIF([1]Mapeamento!$J:$J,A284,[1]Mapeamento!$L:$L)</f>
        <v>#VALUE!</v>
      </c>
      <c r="J284" s="1" t="e">
        <f>SUMIF('[1]Map_Meso-Ox'!$C:$C,A284,'[1]Map_Meso-Ox'!$D:$D)</f>
        <v>#VALUE!</v>
      </c>
      <c r="K284" s="2" t="e">
        <f t="shared" si="8"/>
        <v>#VALUE!</v>
      </c>
      <c r="L284" s="1" t="e">
        <f>SUMIF('[1]Map_Meso-Ox'!$C:$C,A284,'[1]Map_Meso-Ox'!$E:$E)</f>
        <v>#VALUE!</v>
      </c>
      <c r="M284" s="2" t="e">
        <f t="shared" si="9"/>
        <v>#VALUE!</v>
      </c>
    </row>
    <row r="285" spans="1:13" x14ac:dyDescent="0.25">
      <c r="A285">
        <v>64</v>
      </c>
      <c r="B285">
        <v>2</v>
      </c>
      <c r="C285">
        <v>37.253999999999998</v>
      </c>
      <c r="D285">
        <v>2.5100000000000001E-2</v>
      </c>
      <c r="E285" t="s">
        <v>7</v>
      </c>
      <c r="F285">
        <v>0</v>
      </c>
      <c r="G285">
        <f>COUNTIF(E:E,E285)</f>
        <v>110</v>
      </c>
      <c r="H285">
        <f>COUNTIFS(E:E,E285,A:A,A285,D:D,D285)</f>
        <v>1</v>
      </c>
      <c r="I285" t="e">
        <f>SUMIF([1]Mapeamento!$J:$J,A285,[1]Mapeamento!$L:$L)</f>
        <v>#VALUE!</v>
      </c>
      <c r="J285" s="1" t="e">
        <f>SUMIF('[1]Map_Meso-Ox'!$C:$C,A285,'[1]Map_Meso-Ox'!$D:$D)</f>
        <v>#VALUE!</v>
      </c>
      <c r="K285" s="2" t="e">
        <f t="shared" si="8"/>
        <v>#VALUE!</v>
      </c>
      <c r="L285" s="1" t="e">
        <f>SUMIF('[1]Map_Meso-Ox'!$C:$C,A285,'[1]Map_Meso-Ox'!$E:$E)</f>
        <v>#VALUE!</v>
      </c>
      <c r="M285" s="2" t="e">
        <f t="shared" si="9"/>
        <v>#VALUE!</v>
      </c>
    </row>
    <row r="286" spans="1:13" x14ac:dyDescent="0.25">
      <c r="A286">
        <v>65</v>
      </c>
      <c r="B286">
        <v>2</v>
      </c>
      <c r="C286">
        <v>45.313000000000002</v>
      </c>
      <c r="D286">
        <v>0</v>
      </c>
      <c r="E286" t="s">
        <v>7</v>
      </c>
      <c r="F286">
        <v>2</v>
      </c>
      <c r="G286">
        <f>COUNTIF(E:E,E286)</f>
        <v>110</v>
      </c>
      <c r="H286">
        <f>COUNTIFS(E:E,E286,A:A,A286,D:D,D286)</f>
        <v>1</v>
      </c>
      <c r="I286" t="e">
        <f>SUMIF([1]Mapeamento!$J:$J,A286,[1]Mapeamento!$L:$L)</f>
        <v>#VALUE!</v>
      </c>
      <c r="J286" s="1" t="e">
        <f>SUMIF('[1]Map_Meso-Ox'!$C:$C,A286,'[1]Map_Meso-Ox'!$D:$D)</f>
        <v>#VALUE!</v>
      </c>
      <c r="K286" s="2" t="e">
        <f t="shared" si="8"/>
        <v>#VALUE!</v>
      </c>
      <c r="L286" s="1" t="e">
        <f>SUMIF('[1]Map_Meso-Ox'!$C:$C,A286,'[1]Map_Meso-Ox'!$E:$E)</f>
        <v>#VALUE!</v>
      </c>
      <c r="M286" s="2" t="e">
        <f t="shared" si="9"/>
        <v>#VALUE!</v>
      </c>
    </row>
    <row r="287" spans="1:13" x14ac:dyDescent="0.25">
      <c r="A287">
        <v>66</v>
      </c>
      <c r="B287">
        <v>2</v>
      </c>
      <c r="C287">
        <v>32.39</v>
      </c>
      <c r="D287">
        <v>1.5100000000000001E-2</v>
      </c>
      <c r="E287" t="s">
        <v>7</v>
      </c>
      <c r="F287">
        <v>1</v>
      </c>
      <c r="G287">
        <f>COUNTIF(E:E,E287)</f>
        <v>110</v>
      </c>
      <c r="H287">
        <f>COUNTIFS(E:E,E287,A:A,A287,D:D,D287)</f>
        <v>1</v>
      </c>
      <c r="I287" t="e">
        <f>SUMIF([1]Mapeamento!$J:$J,A287,[1]Mapeamento!$L:$L)</f>
        <v>#VALUE!</v>
      </c>
      <c r="J287" s="1" t="e">
        <f>SUMIF('[1]Map_Meso-Ox'!$C:$C,A287,'[1]Map_Meso-Ox'!$D:$D)</f>
        <v>#VALUE!</v>
      </c>
      <c r="K287" s="2" t="e">
        <f t="shared" si="8"/>
        <v>#VALUE!</v>
      </c>
      <c r="L287" s="1" t="e">
        <f>SUMIF('[1]Map_Meso-Ox'!$C:$C,A287,'[1]Map_Meso-Ox'!$E:$E)</f>
        <v>#VALUE!</v>
      </c>
      <c r="M287" s="2" t="e">
        <f t="shared" si="9"/>
        <v>#VALUE!</v>
      </c>
    </row>
    <row r="288" spans="1:13" x14ac:dyDescent="0.25">
      <c r="A288">
        <v>67</v>
      </c>
      <c r="B288">
        <v>2</v>
      </c>
      <c r="C288">
        <v>32.607999999999997</v>
      </c>
      <c r="D288">
        <v>5.5300000000000002E-2</v>
      </c>
      <c r="E288" t="s">
        <v>7</v>
      </c>
      <c r="F288">
        <v>1</v>
      </c>
      <c r="G288">
        <f>COUNTIF(E:E,E288)</f>
        <v>110</v>
      </c>
      <c r="H288">
        <f>COUNTIFS(E:E,E288,A:A,A288,D:D,D288)</f>
        <v>1</v>
      </c>
      <c r="I288" t="e">
        <f>SUMIF([1]Mapeamento!$J:$J,A288,[1]Mapeamento!$L:$L)</f>
        <v>#VALUE!</v>
      </c>
      <c r="J288" s="1" t="e">
        <f>SUMIF('[1]Map_Meso-Ox'!$C:$C,A288,'[1]Map_Meso-Ox'!$D:$D)</f>
        <v>#VALUE!</v>
      </c>
      <c r="K288" s="2" t="e">
        <f t="shared" si="8"/>
        <v>#VALUE!</v>
      </c>
      <c r="L288" s="1" t="e">
        <f>SUMIF('[1]Map_Meso-Ox'!$C:$C,A288,'[1]Map_Meso-Ox'!$E:$E)</f>
        <v>#VALUE!</v>
      </c>
      <c r="M288" s="2" t="e">
        <f t="shared" si="9"/>
        <v>#VALUE!</v>
      </c>
    </row>
    <row r="289" spans="1:13" x14ac:dyDescent="0.25">
      <c r="A289">
        <v>68</v>
      </c>
      <c r="B289">
        <v>2</v>
      </c>
      <c r="C289">
        <v>36.713000000000001</v>
      </c>
      <c r="D289">
        <v>0</v>
      </c>
      <c r="E289" t="s">
        <v>7</v>
      </c>
      <c r="F289">
        <v>3</v>
      </c>
      <c r="G289">
        <f>COUNTIF(E:E,E289)</f>
        <v>110</v>
      </c>
      <c r="H289">
        <f>COUNTIFS(E:E,E289,A:A,A289,D:D,D289)</f>
        <v>1</v>
      </c>
      <c r="I289" t="e">
        <f>SUMIF([1]Mapeamento!$J:$J,A289,[1]Mapeamento!$L:$L)</f>
        <v>#VALUE!</v>
      </c>
      <c r="J289" s="1" t="e">
        <f>SUMIF('[1]Map_Meso-Ox'!$C:$C,A289,'[1]Map_Meso-Ox'!$D:$D)</f>
        <v>#VALUE!</v>
      </c>
      <c r="K289" s="2" t="e">
        <f t="shared" si="8"/>
        <v>#VALUE!</v>
      </c>
      <c r="L289" s="1" t="e">
        <f>SUMIF('[1]Map_Meso-Ox'!$C:$C,A289,'[1]Map_Meso-Ox'!$E:$E)</f>
        <v>#VALUE!</v>
      </c>
      <c r="M289" s="2" t="e">
        <f t="shared" si="9"/>
        <v>#VALUE!</v>
      </c>
    </row>
    <row r="290" spans="1:13" x14ac:dyDescent="0.25">
      <c r="A290">
        <v>69</v>
      </c>
      <c r="B290">
        <v>2</v>
      </c>
      <c r="C290">
        <v>27.695</v>
      </c>
      <c r="D290">
        <v>0.13070000000000001</v>
      </c>
      <c r="E290" t="s">
        <v>7</v>
      </c>
      <c r="F290">
        <v>0</v>
      </c>
      <c r="G290">
        <f>COUNTIF(E:E,E290)</f>
        <v>110</v>
      </c>
      <c r="H290">
        <f>COUNTIFS(E:E,E290,A:A,A290,D:D,D290)</f>
        <v>1</v>
      </c>
      <c r="I290" t="e">
        <f>SUMIF([1]Mapeamento!$J:$J,A290,[1]Mapeamento!$L:$L)</f>
        <v>#VALUE!</v>
      </c>
      <c r="J290" s="1" t="e">
        <f>SUMIF('[1]Map_Meso-Ox'!$C:$C,A290,'[1]Map_Meso-Ox'!$D:$D)</f>
        <v>#VALUE!</v>
      </c>
      <c r="K290" s="2" t="e">
        <f t="shared" si="8"/>
        <v>#VALUE!</v>
      </c>
      <c r="L290" s="1" t="e">
        <f>SUMIF('[1]Map_Meso-Ox'!$C:$C,A290,'[1]Map_Meso-Ox'!$E:$E)</f>
        <v>#VALUE!</v>
      </c>
      <c r="M290" s="2" t="e">
        <f t="shared" si="9"/>
        <v>#VALUE!</v>
      </c>
    </row>
    <row r="291" spans="1:13" x14ac:dyDescent="0.25">
      <c r="A291">
        <v>70</v>
      </c>
      <c r="B291">
        <v>2</v>
      </c>
      <c r="C291">
        <v>32.537999999999997</v>
      </c>
      <c r="D291">
        <v>1.5100000000000001E-2</v>
      </c>
      <c r="E291" t="s">
        <v>7</v>
      </c>
      <c r="F291">
        <v>1</v>
      </c>
      <c r="G291">
        <f>COUNTIF(E:E,E291)</f>
        <v>110</v>
      </c>
      <c r="H291">
        <f>COUNTIFS(E:E,E291,A:A,A291,D:D,D291)</f>
        <v>1</v>
      </c>
      <c r="I291" t="e">
        <f>SUMIF([1]Mapeamento!$J:$J,A291,[1]Mapeamento!$L:$L)</f>
        <v>#VALUE!</v>
      </c>
      <c r="J291" s="1" t="e">
        <f>SUMIF('[1]Map_Meso-Ox'!$C:$C,A291,'[1]Map_Meso-Ox'!$D:$D)</f>
        <v>#VALUE!</v>
      </c>
      <c r="K291" s="2" t="e">
        <f t="shared" si="8"/>
        <v>#VALUE!</v>
      </c>
      <c r="L291" s="1" t="e">
        <f>SUMIF('[1]Map_Meso-Ox'!$C:$C,A291,'[1]Map_Meso-Ox'!$E:$E)</f>
        <v>#VALUE!</v>
      </c>
      <c r="M291" s="2" t="e">
        <f t="shared" si="9"/>
        <v>#VALUE!</v>
      </c>
    </row>
    <row r="292" spans="1:13" x14ac:dyDescent="0.25">
      <c r="A292">
        <v>71</v>
      </c>
      <c r="B292">
        <v>2</v>
      </c>
      <c r="C292">
        <v>21.31</v>
      </c>
      <c r="D292">
        <v>0.1709</v>
      </c>
      <c r="E292" t="s">
        <v>7</v>
      </c>
      <c r="F292">
        <v>2</v>
      </c>
      <c r="G292">
        <f>COUNTIF(E:E,E292)</f>
        <v>110</v>
      </c>
      <c r="H292">
        <f>COUNTIFS(E:E,E292,A:A,A292,D:D,D292)</f>
        <v>1</v>
      </c>
      <c r="I292" t="e">
        <f>SUMIF([1]Mapeamento!$J:$J,A292,[1]Mapeamento!$L:$L)</f>
        <v>#VALUE!</v>
      </c>
      <c r="J292" s="1" t="e">
        <f>SUMIF('[1]Map_Meso-Ox'!$C:$C,A292,'[1]Map_Meso-Ox'!$D:$D)</f>
        <v>#VALUE!</v>
      </c>
      <c r="K292" s="2" t="e">
        <f t="shared" si="8"/>
        <v>#VALUE!</v>
      </c>
      <c r="L292" s="1" t="e">
        <f>SUMIF('[1]Map_Meso-Ox'!$C:$C,A292,'[1]Map_Meso-Ox'!$E:$E)</f>
        <v>#VALUE!</v>
      </c>
      <c r="M292" s="2" t="e">
        <f t="shared" si="9"/>
        <v>#VALUE!</v>
      </c>
    </row>
    <row r="293" spans="1:13" x14ac:dyDescent="0.25">
      <c r="A293">
        <v>72</v>
      </c>
      <c r="B293">
        <v>2</v>
      </c>
      <c r="C293">
        <v>31.681999999999999</v>
      </c>
      <c r="D293">
        <v>3.0200000000000001E-2</v>
      </c>
      <c r="E293" t="s">
        <v>7</v>
      </c>
      <c r="F293">
        <v>1</v>
      </c>
      <c r="G293">
        <f>COUNTIF(E:E,E293)</f>
        <v>110</v>
      </c>
      <c r="H293">
        <f>COUNTIFS(E:E,E293,A:A,A293,D:D,D293)</f>
        <v>1</v>
      </c>
      <c r="I293" t="e">
        <f>SUMIF([1]Mapeamento!$J:$J,A293,[1]Mapeamento!$L:$L)</f>
        <v>#VALUE!</v>
      </c>
      <c r="J293" s="1" t="e">
        <f>SUMIF('[1]Map_Meso-Ox'!$C:$C,A293,'[1]Map_Meso-Ox'!$D:$D)</f>
        <v>#VALUE!</v>
      </c>
      <c r="K293" s="2" t="e">
        <f t="shared" si="8"/>
        <v>#VALUE!</v>
      </c>
      <c r="L293" s="1" t="e">
        <f>SUMIF('[1]Map_Meso-Ox'!$C:$C,A293,'[1]Map_Meso-Ox'!$E:$E)</f>
        <v>#VALUE!</v>
      </c>
      <c r="M293" s="2" t="e">
        <f t="shared" si="9"/>
        <v>#VALUE!</v>
      </c>
    </row>
    <row r="294" spans="1:13" x14ac:dyDescent="0.25">
      <c r="A294">
        <v>73</v>
      </c>
      <c r="B294">
        <v>2</v>
      </c>
      <c r="C294">
        <v>42.978999999999999</v>
      </c>
      <c r="D294">
        <v>0</v>
      </c>
      <c r="E294" t="s">
        <v>7</v>
      </c>
      <c r="F294">
        <v>2</v>
      </c>
      <c r="G294">
        <f>COUNTIF(E:E,E294)</f>
        <v>110</v>
      </c>
      <c r="H294">
        <f>COUNTIFS(E:E,E294,A:A,A294,D:D,D294)</f>
        <v>1</v>
      </c>
      <c r="I294" t="e">
        <f>SUMIF([1]Mapeamento!$J:$J,A294,[1]Mapeamento!$L:$L)</f>
        <v>#VALUE!</v>
      </c>
      <c r="J294" s="1" t="e">
        <f>SUMIF('[1]Map_Meso-Ox'!$C:$C,A294,'[1]Map_Meso-Ox'!$D:$D)</f>
        <v>#VALUE!</v>
      </c>
      <c r="K294" s="2" t="e">
        <f t="shared" si="8"/>
        <v>#VALUE!</v>
      </c>
      <c r="L294" s="1" t="e">
        <f>SUMIF('[1]Map_Meso-Ox'!$C:$C,A294,'[1]Map_Meso-Ox'!$E:$E)</f>
        <v>#VALUE!</v>
      </c>
      <c r="M294" s="2" t="e">
        <f t="shared" si="9"/>
        <v>#VALUE!</v>
      </c>
    </row>
    <row r="295" spans="1:13" x14ac:dyDescent="0.25">
      <c r="A295">
        <v>74</v>
      </c>
      <c r="B295">
        <v>2</v>
      </c>
      <c r="C295">
        <v>24.751000000000001</v>
      </c>
      <c r="D295">
        <v>0.37190000000000001</v>
      </c>
      <c r="E295" t="s">
        <v>7</v>
      </c>
      <c r="F295">
        <v>0</v>
      </c>
      <c r="G295">
        <f>COUNTIF(E:E,E295)</f>
        <v>110</v>
      </c>
      <c r="H295">
        <f>COUNTIFS(E:E,E295,A:A,A295,D:D,D295)</f>
        <v>1</v>
      </c>
      <c r="I295" t="e">
        <f>SUMIF([1]Mapeamento!$J:$J,A295,[1]Mapeamento!$L:$L)</f>
        <v>#VALUE!</v>
      </c>
      <c r="J295" s="1" t="e">
        <f>SUMIF('[1]Map_Meso-Ox'!$C:$C,A295,'[1]Map_Meso-Ox'!$D:$D)</f>
        <v>#VALUE!</v>
      </c>
      <c r="K295" s="2" t="e">
        <f t="shared" si="8"/>
        <v>#VALUE!</v>
      </c>
      <c r="L295" s="1" t="e">
        <f>SUMIF('[1]Map_Meso-Ox'!$C:$C,A295,'[1]Map_Meso-Ox'!$E:$E)</f>
        <v>#VALUE!</v>
      </c>
      <c r="M295" s="2" t="e">
        <f t="shared" si="9"/>
        <v>#VALUE!</v>
      </c>
    </row>
    <row r="296" spans="1:13" x14ac:dyDescent="0.25">
      <c r="A296">
        <v>75</v>
      </c>
      <c r="B296">
        <v>2</v>
      </c>
      <c r="C296">
        <v>54.408999999999999</v>
      </c>
      <c r="D296">
        <v>1.01E-2</v>
      </c>
      <c r="E296" t="s">
        <v>7</v>
      </c>
      <c r="F296">
        <v>1</v>
      </c>
      <c r="G296">
        <f>COUNTIF(E:E,E296)</f>
        <v>110</v>
      </c>
      <c r="H296">
        <f>COUNTIFS(E:E,E296,A:A,A296,D:D,D296)</f>
        <v>1</v>
      </c>
      <c r="I296" t="e">
        <f>SUMIF([1]Mapeamento!$J:$J,A296,[1]Mapeamento!$L:$L)</f>
        <v>#VALUE!</v>
      </c>
      <c r="J296" s="1" t="e">
        <f>SUMIF('[1]Map_Meso-Ox'!$C:$C,A296,'[1]Map_Meso-Ox'!$D:$D)</f>
        <v>#VALUE!</v>
      </c>
      <c r="K296" s="2" t="e">
        <f t="shared" si="8"/>
        <v>#VALUE!</v>
      </c>
      <c r="L296" s="1" t="e">
        <f>SUMIF('[1]Map_Meso-Ox'!$C:$C,A296,'[1]Map_Meso-Ox'!$E:$E)</f>
        <v>#VALUE!</v>
      </c>
      <c r="M296" s="2" t="e">
        <f t="shared" si="9"/>
        <v>#VALUE!</v>
      </c>
    </row>
    <row r="297" spans="1:13" x14ac:dyDescent="0.25">
      <c r="A297">
        <v>76</v>
      </c>
      <c r="B297">
        <v>2</v>
      </c>
      <c r="C297">
        <v>31.009</v>
      </c>
      <c r="D297">
        <v>2.5100000000000001E-2</v>
      </c>
      <c r="E297" t="s">
        <v>7</v>
      </c>
      <c r="F297">
        <v>1</v>
      </c>
      <c r="G297">
        <f>COUNTIF(E:E,E297)</f>
        <v>110</v>
      </c>
      <c r="H297">
        <f>COUNTIFS(E:E,E297,A:A,A297,D:D,D297)</f>
        <v>1</v>
      </c>
      <c r="I297" t="e">
        <f>SUMIF([1]Mapeamento!$J:$J,A297,[1]Mapeamento!$L:$L)</f>
        <v>#VALUE!</v>
      </c>
      <c r="J297" s="1" t="e">
        <f>SUMIF('[1]Map_Meso-Ox'!$C:$C,A297,'[1]Map_Meso-Ox'!$D:$D)</f>
        <v>#VALUE!</v>
      </c>
      <c r="K297" s="2" t="e">
        <f t="shared" si="8"/>
        <v>#VALUE!</v>
      </c>
      <c r="L297" s="1" t="e">
        <f>SUMIF('[1]Map_Meso-Ox'!$C:$C,A297,'[1]Map_Meso-Ox'!$E:$E)</f>
        <v>#VALUE!</v>
      </c>
      <c r="M297" s="2" t="e">
        <f t="shared" si="9"/>
        <v>#VALUE!</v>
      </c>
    </row>
    <row r="298" spans="1:13" x14ac:dyDescent="0.25">
      <c r="A298">
        <v>77</v>
      </c>
      <c r="B298">
        <v>2</v>
      </c>
      <c r="C298">
        <v>42.533000000000001</v>
      </c>
      <c r="D298">
        <v>0</v>
      </c>
      <c r="E298" t="s">
        <v>7</v>
      </c>
      <c r="F298">
        <v>1</v>
      </c>
      <c r="G298">
        <f>COUNTIF(E:E,E298)</f>
        <v>110</v>
      </c>
      <c r="H298">
        <f>COUNTIFS(E:E,E298,A:A,A298,D:D,D298)</f>
        <v>1</v>
      </c>
      <c r="I298" t="e">
        <f>SUMIF([1]Mapeamento!$J:$J,A298,[1]Mapeamento!$L:$L)</f>
        <v>#VALUE!</v>
      </c>
      <c r="J298" s="1" t="e">
        <f>SUMIF('[1]Map_Meso-Ox'!$C:$C,A298,'[1]Map_Meso-Ox'!$D:$D)</f>
        <v>#VALUE!</v>
      </c>
      <c r="K298" s="2" t="e">
        <f t="shared" si="8"/>
        <v>#VALUE!</v>
      </c>
      <c r="L298" s="1" t="e">
        <f>SUMIF('[1]Map_Meso-Ox'!$C:$C,A298,'[1]Map_Meso-Ox'!$E:$E)</f>
        <v>#VALUE!</v>
      </c>
      <c r="M298" s="2" t="e">
        <f t="shared" si="9"/>
        <v>#VALUE!</v>
      </c>
    </row>
    <row r="299" spans="1:13" x14ac:dyDescent="0.25">
      <c r="A299">
        <v>78</v>
      </c>
      <c r="B299">
        <v>2</v>
      </c>
      <c r="C299">
        <v>18.998999999999999</v>
      </c>
      <c r="D299">
        <v>0.28139999999999998</v>
      </c>
      <c r="E299" t="s">
        <v>7</v>
      </c>
      <c r="F299">
        <v>2</v>
      </c>
      <c r="G299">
        <f>COUNTIF(E:E,E299)</f>
        <v>110</v>
      </c>
      <c r="H299">
        <f>COUNTIFS(E:E,E299,A:A,A299,D:D,D299)</f>
        <v>1</v>
      </c>
      <c r="I299" t="e">
        <f>SUMIF([1]Mapeamento!$J:$J,A299,[1]Mapeamento!$L:$L)</f>
        <v>#VALUE!</v>
      </c>
      <c r="J299" s="1" t="e">
        <f>SUMIF('[1]Map_Meso-Ox'!$C:$C,A299,'[1]Map_Meso-Ox'!$D:$D)</f>
        <v>#VALUE!</v>
      </c>
      <c r="K299" s="2" t="e">
        <f t="shared" si="8"/>
        <v>#VALUE!</v>
      </c>
      <c r="L299" s="1" t="e">
        <f>SUMIF('[1]Map_Meso-Ox'!$C:$C,A299,'[1]Map_Meso-Ox'!$E:$E)</f>
        <v>#VALUE!</v>
      </c>
      <c r="M299" s="2" t="e">
        <f t="shared" si="9"/>
        <v>#VALUE!</v>
      </c>
    </row>
    <row r="300" spans="1:13" x14ac:dyDescent="0.25">
      <c r="A300">
        <v>79</v>
      </c>
      <c r="B300">
        <v>2</v>
      </c>
      <c r="C300">
        <v>17.404</v>
      </c>
      <c r="D300">
        <v>0.29149999999999998</v>
      </c>
      <c r="E300" t="s">
        <v>7</v>
      </c>
      <c r="F300">
        <v>1</v>
      </c>
      <c r="G300">
        <f>COUNTIF(E:E,E300)</f>
        <v>110</v>
      </c>
      <c r="H300">
        <f>COUNTIFS(E:E,E300,A:A,A300,D:D,D300)</f>
        <v>1</v>
      </c>
      <c r="I300" t="e">
        <f>SUMIF([1]Mapeamento!$J:$J,A300,[1]Mapeamento!$L:$L)</f>
        <v>#VALUE!</v>
      </c>
      <c r="J300" s="1" t="e">
        <f>SUMIF('[1]Map_Meso-Ox'!$C:$C,A300,'[1]Map_Meso-Ox'!$D:$D)</f>
        <v>#VALUE!</v>
      </c>
      <c r="K300" s="2" t="e">
        <f t="shared" si="8"/>
        <v>#VALUE!</v>
      </c>
      <c r="L300" s="1" t="e">
        <f>SUMIF('[1]Map_Meso-Ox'!$C:$C,A300,'[1]Map_Meso-Ox'!$E:$E)</f>
        <v>#VALUE!</v>
      </c>
      <c r="M300" s="2" t="e">
        <f t="shared" si="9"/>
        <v>#VALUE!</v>
      </c>
    </row>
    <row r="301" spans="1:13" x14ac:dyDescent="0.25">
      <c r="A301">
        <v>80</v>
      </c>
      <c r="B301">
        <v>2</v>
      </c>
      <c r="C301">
        <v>20.113</v>
      </c>
      <c r="D301">
        <v>0.3417</v>
      </c>
      <c r="E301" t="s">
        <v>7</v>
      </c>
      <c r="F301">
        <v>1</v>
      </c>
      <c r="G301">
        <f>COUNTIF(E:E,E301)</f>
        <v>110</v>
      </c>
      <c r="H301">
        <f>COUNTIFS(E:E,E301,A:A,A301,D:D,D301)</f>
        <v>1</v>
      </c>
      <c r="I301" t="e">
        <f>SUMIF([1]Mapeamento!$J:$J,A301,[1]Mapeamento!$L:$L)</f>
        <v>#VALUE!</v>
      </c>
      <c r="J301" s="1" t="e">
        <f>SUMIF('[1]Map_Meso-Ox'!$C:$C,A301,'[1]Map_Meso-Ox'!$D:$D)</f>
        <v>#VALUE!</v>
      </c>
      <c r="K301" s="2" t="e">
        <f t="shared" si="8"/>
        <v>#VALUE!</v>
      </c>
      <c r="L301" s="1" t="e">
        <f>SUMIF('[1]Map_Meso-Ox'!$C:$C,A301,'[1]Map_Meso-Ox'!$E:$E)</f>
        <v>#VALUE!</v>
      </c>
      <c r="M301" s="2" t="e">
        <f t="shared" si="9"/>
        <v>#VALUE!</v>
      </c>
    </row>
    <row r="302" spans="1:13" x14ac:dyDescent="0.25">
      <c r="A302">
        <v>81</v>
      </c>
      <c r="B302">
        <v>2</v>
      </c>
      <c r="C302">
        <v>48.021999999999998</v>
      </c>
      <c r="D302">
        <v>0</v>
      </c>
      <c r="E302" t="s">
        <v>7</v>
      </c>
      <c r="F302">
        <v>1</v>
      </c>
      <c r="G302">
        <f>COUNTIF(E:E,E302)</f>
        <v>110</v>
      </c>
      <c r="H302">
        <f>COUNTIFS(E:E,E302,A:A,A302,D:D,D302)</f>
        <v>1</v>
      </c>
      <c r="I302" t="e">
        <f>SUMIF([1]Mapeamento!$J:$J,A302,[1]Mapeamento!$L:$L)</f>
        <v>#VALUE!</v>
      </c>
      <c r="J302" s="1" t="e">
        <f>SUMIF('[1]Map_Meso-Ox'!$C:$C,A302,'[1]Map_Meso-Ox'!$D:$D)</f>
        <v>#VALUE!</v>
      </c>
      <c r="K302" s="2" t="e">
        <f t="shared" si="8"/>
        <v>#VALUE!</v>
      </c>
      <c r="L302" s="1" t="e">
        <f>SUMIF('[1]Map_Meso-Ox'!$C:$C,A302,'[1]Map_Meso-Ox'!$E:$E)</f>
        <v>#VALUE!</v>
      </c>
      <c r="M302" s="2" t="e">
        <f t="shared" si="9"/>
        <v>#VALUE!</v>
      </c>
    </row>
    <row r="303" spans="1:13" x14ac:dyDescent="0.25">
      <c r="A303">
        <v>82</v>
      </c>
      <c r="B303">
        <v>2</v>
      </c>
      <c r="C303">
        <v>25.789000000000001</v>
      </c>
      <c r="D303">
        <v>0.18090000000000001</v>
      </c>
      <c r="E303" t="s">
        <v>7</v>
      </c>
      <c r="F303">
        <v>1</v>
      </c>
      <c r="G303">
        <f>COUNTIF(E:E,E303)</f>
        <v>110</v>
      </c>
      <c r="H303">
        <f>COUNTIFS(E:E,E303,A:A,A303,D:D,D303)</f>
        <v>1</v>
      </c>
      <c r="I303" t="e">
        <f>SUMIF([1]Mapeamento!$J:$J,A303,[1]Mapeamento!$L:$L)</f>
        <v>#VALUE!</v>
      </c>
      <c r="J303" s="1" t="e">
        <f>SUMIF('[1]Map_Meso-Ox'!$C:$C,A303,'[1]Map_Meso-Ox'!$D:$D)</f>
        <v>#VALUE!</v>
      </c>
      <c r="K303" s="2" t="e">
        <f t="shared" si="8"/>
        <v>#VALUE!</v>
      </c>
      <c r="L303" s="1" t="e">
        <f>SUMIF('[1]Map_Meso-Ox'!$C:$C,A303,'[1]Map_Meso-Ox'!$E:$E)</f>
        <v>#VALUE!</v>
      </c>
      <c r="M303" s="2" t="e">
        <f t="shared" si="9"/>
        <v>#VALUE!</v>
      </c>
    </row>
    <row r="304" spans="1:13" x14ac:dyDescent="0.25">
      <c r="A304">
        <v>83</v>
      </c>
      <c r="B304">
        <v>2</v>
      </c>
      <c r="C304">
        <v>19.669</v>
      </c>
      <c r="D304">
        <v>0.14069999999999999</v>
      </c>
      <c r="E304" t="s">
        <v>7</v>
      </c>
      <c r="F304">
        <v>1</v>
      </c>
      <c r="G304">
        <f>COUNTIF(E:E,E304)</f>
        <v>110</v>
      </c>
      <c r="H304">
        <f>COUNTIFS(E:E,E304,A:A,A304,D:D,D304)</f>
        <v>1</v>
      </c>
      <c r="I304" t="e">
        <f>SUMIF([1]Mapeamento!$J:$J,A304,[1]Mapeamento!$L:$L)</f>
        <v>#VALUE!</v>
      </c>
      <c r="J304" s="1" t="e">
        <f>SUMIF('[1]Map_Meso-Ox'!$C:$C,A304,'[1]Map_Meso-Ox'!$D:$D)</f>
        <v>#VALUE!</v>
      </c>
      <c r="K304" s="2" t="e">
        <f t="shared" si="8"/>
        <v>#VALUE!</v>
      </c>
      <c r="L304" s="1" t="e">
        <f>SUMIF('[1]Map_Meso-Ox'!$C:$C,A304,'[1]Map_Meso-Ox'!$E:$E)</f>
        <v>#VALUE!</v>
      </c>
      <c r="M304" s="2" t="e">
        <f t="shared" si="9"/>
        <v>#VALUE!</v>
      </c>
    </row>
    <row r="305" spans="1:13" x14ac:dyDescent="0.25">
      <c r="A305">
        <v>84</v>
      </c>
      <c r="B305">
        <v>2</v>
      </c>
      <c r="C305">
        <v>38.633000000000003</v>
      </c>
      <c r="D305">
        <v>1.5100000000000001E-2</v>
      </c>
      <c r="E305" t="s">
        <v>7</v>
      </c>
      <c r="F305">
        <v>2</v>
      </c>
      <c r="G305">
        <f>COUNTIF(E:E,E305)</f>
        <v>110</v>
      </c>
      <c r="H305">
        <f>COUNTIFS(E:E,E305,A:A,A305,D:D,D305)</f>
        <v>1</v>
      </c>
      <c r="I305" t="e">
        <f>SUMIF([1]Mapeamento!$J:$J,A305,[1]Mapeamento!$L:$L)</f>
        <v>#VALUE!</v>
      </c>
      <c r="J305" s="1" t="e">
        <f>SUMIF('[1]Map_Meso-Ox'!$C:$C,A305,'[1]Map_Meso-Ox'!$D:$D)</f>
        <v>#VALUE!</v>
      </c>
      <c r="K305" s="2" t="e">
        <f t="shared" si="8"/>
        <v>#VALUE!</v>
      </c>
      <c r="L305" s="1" t="e">
        <f>SUMIF('[1]Map_Meso-Ox'!$C:$C,A305,'[1]Map_Meso-Ox'!$E:$E)</f>
        <v>#VALUE!</v>
      </c>
      <c r="M305" s="2" t="e">
        <f t="shared" si="9"/>
        <v>#VALUE!</v>
      </c>
    </row>
    <row r="306" spans="1:13" x14ac:dyDescent="0.25">
      <c r="A306">
        <v>85</v>
      </c>
      <c r="B306">
        <v>2</v>
      </c>
      <c r="C306">
        <v>28.016999999999999</v>
      </c>
      <c r="D306">
        <v>7.5399999999999995E-2</v>
      </c>
      <c r="E306" t="s">
        <v>7</v>
      </c>
      <c r="F306">
        <v>1</v>
      </c>
      <c r="G306">
        <f>COUNTIF(E:E,E306)</f>
        <v>110</v>
      </c>
      <c r="H306">
        <f>COUNTIFS(E:E,E306,A:A,A306,D:D,D306)</f>
        <v>1</v>
      </c>
      <c r="I306" t="e">
        <f>SUMIF([1]Mapeamento!$J:$J,A306,[1]Mapeamento!$L:$L)</f>
        <v>#VALUE!</v>
      </c>
      <c r="J306" s="1" t="e">
        <f>SUMIF('[1]Map_Meso-Ox'!$C:$C,A306,'[1]Map_Meso-Ox'!$D:$D)</f>
        <v>#VALUE!</v>
      </c>
      <c r="K306" s="2" t="e">
        <f t="shared" si="8"/>
        <v>#VALUE!</v>
      </c>
      <c r="L306" s="1" t="e">
        <f>SUMIF('[1]Map_Meso-Ox'!$C:$C,A306,'[1]Map_Meso-Ox'!$E:$E)</f>
        <v>#VALUE!</v>
      </c>
      <c r="M306" s="2" t="e">
        <f t="shared" si="9"/>
        <v>#VALUE!</v>
      </c>
    </row>
    <row r="307" spans="1:13" x14ac:dyDescent="0.25">
      <c r="A307">
        <v>86</v>
      </c>
      <c r="B307">
        <v>2</v>
      </c>
      <c r="C307">
        <v>9.9643999999999995</v>
      </c>
      <c r="D307">
        <v>0.76880000000000004</v>
      </c>
      <c r="E307" t="s">
        <v>7</v>
      </c>
      <c r="F307">
        <v>1</v>
      </c>
      <c r="G307">
        <f>COUNTIF(E:E,E307)</f>
        <v>110</v>
      </c>
      <c r="H307">
        <f>COUNTIFS(E:E,E307,A:A,A307,D:D,D307)</f>
        <v>1</v>
      </c>
      <c r="I307" t="e">
        <f>SUMIF([1]Mapeamento!$J:$J,A307,[1]Mapeamento!$L:$L)</f>
        <v>#VALUE!</v>
      </c>
      <c r="J307" s="1" t="e">
        <f>SUMIF('[1]Map_Meso-Ox'!$C:$C,A307,'[1]Map_Meso-Ox'!$D:$D)</f>
        <v>#VALUE!</v>
      </c>
      <c r="K307" s="2" t="e">
        <f t="shared" si="8"/>
        <v>#VALUE!</v>
      </c>
      <c r="L307" s="1" t="e">
        <f>SUMIF('[1]Map_Meso-Ox'!$C:$C,A307,'[1]Map_Meso-Ox'!$E:$E)</f>
        <v>#VALUE!</v>
      </c>
      <c r="M307" s="2" t="e">
        <f t="shared" si="9"/>
        <v>#VALUE!</v>
      </c>
    </row>
    <row r="308" spans="1:13" x14ac:dyDescent="0.25">
      <c r="A308">
        <v>87</v>
      </c>
      <c r="B308">
        <v>2</v>
      </c>
      <c r="C308">
        <v>21.326000000000001</v>
      </c>
      <c r="D308">
        <v>0.28139999999999998</v>
      </c>
      <c r="E308" t="s">
        <v>7</v>
      </c>
      <c r="F308">
        <v>0</v>
      </c>
      <c r="G308">
        <f>COUNTIF(E:E,E308)</f>
        <v>110</v>
      </c>
      <c r="H308">
        <f>COUNTIFS(E:E,E308,A:A,A308,D:D,D308)</f>
        <v>1</v>
      </c>
      <c r="I308" t="e">
        <f>SUMIF([1]Mapeamento!$J:$J,A308,[1]Mapeamento!$L:$L)</f>
        <v>#VALUE!</v>
      </c>
      <c r="J308" s="1" t="e">
        <f>SUMIF('[1]Map_Meso-Ox'!$C:$C,A308,'[1]Map_Meso-Ox'!$D:$D)</f>
        <v>#VALUE!</v>
      </c>
      <c r="K308" s="2" t="e">
        <f t="shared" si="8"/>
        <v>#VALUE!</v>
      </c>
      <c r="L308" s="1" t="e">
        <f>SUMIF('[1]Map_Meso-Ox'!$C:$C,A308,'[1]Map_Meso-Ox'!$E:$E)</f>
        <v>#VALUE!</v>
      </c>
      <c r="M308" s="2" t="e">
        <f t="shared" si="9"/>
        <v>#VALUE!</v>
      </c>
    </row>
    <row r="309" spans="1:13" x14ac:dyDescent="0.25">
      <c r="A309">
        <v>88</v>
      </c>
      <c r="B309">
        <v>2</v>
      </c>
      <c r="C309">
        <v>18.956</v>
      </c>
      <c r="D309">
        <v>0.41210000000000002</v>
      </c>
      <c r="E309" t="s">
        <v>7</v>
      </c>
      <c r="F309">
        <v>0</v>
      </c>
      <c r="G309">
        <f>COUNTIF(E:E,E309)</f>
        <v>110</v>
      </c>
      <c r="H309">
        <f>COUNTIFS(E:E,E309,A:A,A309,D:D,D309)</f>
        <v>1</v>
      </c>
      <c r="I309" t="e">
        <f>SUMIF([1]Mapeamento!$J:$J,A309,[1]Mapeamento!$L:$L)</f>
        <v>#VALUE!</v>
      </c>
      <c r="J309" s="1" t="e">
        <f>SUMIF('[1]Map_Meso-Ox'!$C:$C,A309,'[1]Map_Meso-Ox'!$D:$D)</f>
        <v>#VALUE!</v>
      </c>
      <c r="K309" s="2" t="e">
        <f t="shared" si="8"/>
        <v>#VALUE!</v>
      </c>
      <c r="L309" s="1" t="e">
        <f>SUMIF('[1]Map_Meso-Ox'!$C:$C,A309,'[1]Map_Meso-Ox'!$E:$E)</f>
        <v>#VALUE!</v>
      </c>
      <c r="M309" s="2" t="e">
        <f t="shared" si="9"/>
        <v>#VALUE!</v>
      </c>
    </row>
    <row r="310" spans="1:13" x14ac:dyDescent="0.25">
      <c r="A310">
        <v>89</v>
      </c>
      <c r="B310">
        <v>2</v>
      </c>
      <c r="C310">
        <v>18.024999999999999</v>
      </c>
      <c r="D310">
        <v>0.33169999999999999</v>
      </c>
      <c r="E310" t="s">
        <v>7</v>
      </c>
      <c r="F310">
        <v>0</v>
      </c>
      <c r="G310">
        <f>COUNTIF(E:E,E310)</f>
        <v>110</v>
      </c>
      <c r="H310">
        <f>COUNTIFS(E:E,E310,A:A,A310,D:D,D310)</f>
        <v>1</v>
      </c>
      <c r="I310" t="e">
        <f>SUMIF([1]Mapeamento!$J:$J,A310,[1]Mapeamento!$L:$L)</f>
        <v>#VALUE!</v>
      </c>
      <c r="J310" s="1" t="e">
        <f>SUMIF('[1]Map_Meso-Ox'!$C:$C,A310,'[1]Map_Meso-Ox'!$D:$D)</f>
        <v>#VALUE!</v>
      </c>
      <c r="K310" s="2" t="e">
        <f t="shared" si="8"/>
        <v>#VALUE!</v>
      </c>
      <c r="L310" s="1" t="e">
        <f>SUMIF('[1]Map_Meso-Ox'!$C:$C,A310,'[1]Map_Meso-Ox'!$E:$E)</f>
        <v>#VALUE!</v>
      </c>
      <c r="M310" s="2" t="e">
        <f t="shared" si="9"/>
        <v>#VALUE!</v>
      </c>
    </row>
    <row r="311" spans="1:13" x14ac:dyDescent="0.25">
      <c r="A311">
        <v>90</v>
      </c>
      <c r="B311">
        <v>2</v>
      </c>
      <c r="C311">
        <v>58.78</v>
      </c>
      <c r="D311">
        <v>0</v>
      </c>
      <c r="E311" t="s">
        <v>7</v>
      </c>
      <c r="F311">
        <v>1</v>
      </c>
      <c r="G311">
        <f>COUNTIF(E:E,E311)</f>
        <v>110</v>
      </c>
      <c r="H311">
        <f>COUNTIFS(E:E,E311,A:A,A311,D:D,D311)</f>
        <v>1</v>
      </c>
      <c r="I311" t="e">
        <f>SUMIF([1]Mapeamento!$J:$J,A311,[1]Mapeamento!$L:$L)</f>
        <v>#VALUE!</v>
      </c>
      <c r="J311" s="1" t="e">
        <f>SUMIF('[1]Map_Meso-Ox'!$C:$C,A311,'[1]Map_Meso-Ox'!$D:$D)</f>
        <v>#VALUE!</v>
      </c>
      <c r="K311" s="2" t="e">
        <f t="shared" si="8"/>
        <v>#VALUE!</v>
      </c>
      <c r="L311" s="1" t="e">
        <f>SUMIF('[1]Map_Meso-Ox'!$C:$C,A311,'[1]Map_Meso-Ox'!$E:$E)</f>
        <v>#VALUE!</v>
      </c>
      <c r="M311" s="2" t="e">
        <f t="shared" si="9"/>
        <v>#VALUE!</v>
      </c>
    </row>
    <row r="312" spans="1:13" x14ac:dyDescent="0.25">
      <c r="A312">
        <v>91</v>
      </c>
      <c r="B312">
        <v>2</v>
      </c>
      <c r="C312">
        <v>40.201000000000001</v>
      </c>
      <c r="D312">
        <v>1.01E-2</v>
      </c>
      <c r="E312" t="s">
        <v>7</v>
      </c>
      <c r="F312">
        <v>2</v>
      </c>
      <c r="G312">
        <f>COUNTIF(E:E,E312)</f>
        <v>110</v>
      </c>
      <c r="H312">
        <f>COUNTIFS(E:E,E312,A:A,A312,D:D,D312)</f>
        <v>1</v>
      </c>
      <c r="I312" t="e">
        <f>SUMIF([1]Mapeamento!$J:$J,A312,[1]Mapeamento!$L:$L)</f>
        <v>#VALUE!</v>
      </c>
      <c r="J312" s="1" t="e">
        <f>SUMIF('[1]Map_Meso-Ox'!$C:$C,A312,'[1]Map_Meso-Ox'!$D:$D)</f>
        <v>#VALUE!</v>
      </c>
      <c r="K312" s="2" t="e">
        <f t="shared" si="8"/>
        <v>#VALUE!</v>
      </c>
      <c r="L312" s="1" t="e">
        <f>SUMIF('[1]Map_Meso-Ox'!$C:$C,A312,'[1]Map_Meso-Ox'!$E:$E)</f>
        <v>#VALUE!</v>
      </c>
      <c r="M312" s="2" t="e">
        <f t="shared" si="9"/>
        <v>#VALUE!</v>
      </c>
    </row>
    <row r="313" spans="1:13" x14ac:dyDescent="0.25">
      <c r="A313">
        <v>92</v>
      </c>
      <c r="B313">
        <v>2</v>
      </c>
      <c r="C313">
        <v>38.841999999999999</v>
      </c>
      <c r="D313">
        <v>4.5199999999999997E-2</v>
      </c>
      <c r="E313" t="s">
        <v>7</v>
      </c>
      <c r="F313">
        <v>0</v>
      </c>
      <c r="G313">
        <f>COUNTIF(E:E,E313)</f>
        <v>110</v>
      </c>
      <c r="H313">
        <f>COUNTIFS(E:E,E313,A:A,A313,D:D,D313)</f>
        <v>1</v>
      </c>
      <c r="I313" t="e">
        <f>SUMIF([1]Mapeamento!$J:$J,A313,[1]Mapeamento!$L:$L)</f>
        <v>#VALUE!</v>
      </c>
      <c r="J313" s="1" t="e">
        <f>SUMIF('[1]Map_Meso-Ox'!$C:$C,A313,'[1]Map_Meso-Ox'!$D:$D)</f>
        <v>#VALUE!</v>
      </c>
      <c r="K313" s="2" t="e">
        <f t="shared" si="8"/>
        <v>#VALUE!</v>
      </c>
      <c r="L313" s="1" t="e">
        <f>SUMIF('[1]Map_Meso-Ox'!$C:$C,A313,'[1]Map_Meso-Ox'!$E:$E)</f>
        <v>#VALUE!</v>
      </c>
      <c r="M313" s="2" t="e">
        <f t="shared" si="9"/>
        <v>#VALUE!</v>
      </c>
    </row>
    <row r="314" spans="1:13" x14ac:dyDescent="0.25">
      <c r="A314">
        <v>93</v>
      </c>
      <c r="B314">
        <v>2</v>
      </c>
      <c r="C314">
        <v>37.127000000000002</v>
      </c>
      <c r="D314">
        <v>6.5299999999999997E-2</v>
      </c>
      <c r="E314" t="s">
        <v>7</v>
      </c>
      <c r="F314">
        <v>0</v>
      </c>
      <c r="G314">
        <f>COUNTIF(E:E,E314)</f>
        <v>110</v>
      </c>
      <c r="H314">
        <f>COUNTIFS(E:E,E314,A:A,A314,D:D,D314)</f>
        <v>1</v>
      </c>
      <c r="I314" t="e">
        <f>SUMIF([1]Mapeamento!$J:$J,A314,[1]Mapeamento!$L:$L)</f>
        <v>#VALUE!</v>
      </c>
      <c r="J314" s="1" t="e">
        <f>SUMIF('[1]Map_Meso-Ox'!$C:$C,A314,'[1]Map_Meso-Ox'!$D:$D)</f>
        <v>#VALUE!</v>
      </c>
      <c r="K314" s="2" t="e">
        <f t="shared" si="8"/>
        <v>#VALUE!</v>
      </c>
      <c r="L314" s="1" t="e">
        <f>SUMIF('[1]Map_Meso-Ox'!$C:$C,A314,'[1]Map_Meso-Ox'!$E:$E)</f>
        <v>#VALUE!</v>
      </c>
      <c r="M314" s="2" t="e">
        <f t="shared" si="9"/>
        <v>#VALUE!</v>
      </c>
    </row>
    <row r="315" spans="1:13" x14ac:dyDescent="0.25">
      <c r="A315">
        <v>94</v>
      </c>
      <c r="B315">
        <v>2</v>
      </c>
      <c r="C315">
        <v>22.263999999999999</v>
      </c>
      <c r="D315">
        <v>0.1608</v>
      </c>
      <c r="E315" t="s">
        <v>7</v>
      </c>
      <c r="F315">
        <v>2</v>
      </c>
      <c r="G315">
        <f>COUNTIF(E:E,E315)</f>
        <v>110</v>
      </c>
      <c r="H315">
        <f>COUNTIFS(E:E,E315,A:A,A315,D:D,D315)</f>
        <v>1</v>
      </c>
      <c r="I315" t="e">
        <f>SUMIF([1]Mapeamento!$J:$J,A315,[1]Mapeamento!$L:$L)</f>
        <v>#VALUE!</v>
      </c>
      <c r="J315" s="1" t="e">
        <f>SUMIF('[1]Map_Meso-Ox'!$C:$C,A315,'[1]Map_Meso-Ox'!$D:$D)</f>
        <v>#VALUE!</v>
      </c>
      <c r="K315" s="2" t="e">
        <f t="shared" si="8"/>
        <v>#VALUE!</v>
      </c>
      <c r="L315" s="1" t="e">
        <f>SUMIF('[1]Map_Meso-Ox'!$C:$C,A315,'[1]Map_Meso-Ox'!$E:$E)</f>
        <v>#VALUE!</v>
      </c>
      <c r="M315" s="2" t="e">
        <f t="shared" si="9"/>
        <v>#VALUE!</v>
      </c>
    </row>
    <row r="316" spans="1:13" x14ac:dyDescent="0.25">
      <c r="A316">
        <v>95</v>
      </c>
      <c r="B316">
        <v>2</v>
      </c>
      <c r="C316">
        <v>23.402999999999999</v>
      </c>
      <c r="D316">
        <v>0.23119999999999999</v>
      </c>
      <c r="E316" t="s">
        <v>7</v>
      </c>
      <c r="F316">
        <v>0</v>
      </c>
      <c r="G316">
        <f>COUNTIF(E:E,E316)</f>
        <v>110</v>
      </c>
      <c r="H316">
        <f>COUNTIFS(E:E,E316,A:A,A316,D:D,D316)</f>
        <v>1</v>
      </c>
      <c r="I316" t="e">
        <f>SUMIF([1]Mapeamento!$J:$J,A316,[1]Mapeamento!$L:$L)</f>
        <v>#VALUE!</v>
      </c>
      <c r="J316" s="1" t="e">
        <f>SUMIF('[1]Map_Meso-Ox'!$C:$C,A316,'[1]Map_Meso-Ox'!$D:$D)</f>
        <v>#VALUE!</v>
      </c>
      <c r="K316" s="2" t="e">
        <f t="shared" si="8"/>
        <v>#VALUE!</v>
      </c>
      <c r="L316" s="1" t="e">
        <f>SUMIF('[1]Map_Meso-Ox'!$C:$C,A316,'[1]Map_Meso-Ox'!$E:$E)</f>
        <v>#VALUE!</v>
      </c>
      <c r="M316" s="2" t="e">
        <f t="shared" si="9"/>
        <v>#VALUE!</v>
      </c>
    </row>
    <row r="317" spans="1:13" x14ac:dyDescent="0.25">
      <c r="A317">
        <v>96</v>
      </c>
      <c r="B317">
        <v>2</v>
      </c>
      <c r="C317">
        <v>36.899000000000001</v>
      </c>
      <c r="D317">
        <v>6.0299999999999999E-2</v>
      </c>
      <c r="E317" t="s">
        <v>7</v>
      </c>
      <c r="F317">
        <v>0</v>
      </c>
      <c r="G317">
        <f>COUNTIF(E:E,E317)</f>
        <v>110</v>
      </c>
      <c r="H317">
        <f>COUNTIFS(E:E,E317,A:A,A317,D:D,D317)</f>
        <v>1</v>
      </c>
      <c r="I317" t="e">
        <f>SUMIF([1]Mapeamento!$J:$J,A317,[1]Mapeamento!$L:$L)</f>
        <v>#VALUE!</v>
      </c>
      <c r="J317" s="1" t="e">
        <f>SUMIF('[1]Map_Meso-Ox'!$C:$C,A317,'[1]Map_Meso-Ox'!$D:$D)</f>
        <v>#VALUE!</v>
      </c>
      <c r="K317" s="2" t="e">
        <f t="shared" si="8"/>
        <v>#VALUE!</v>
      </c>
      <c r="L317" s="1" t="e">
        <f>SUMIF('[1]Map_Meso-Ox'!$C:$C,A317,'[1]Map_Meso-Ox'!$E:$E)</f>
        <v>#VALUE!</v>
      </c>
      <c r="M317" s="2" t="e">
        <f t="shared" si="9"/>
        <v>#VALUE!</v>
      </c>
    </row>
    <row r="318" spans="1:13" x14ac:dyDescent="0.25">
      <c r="A318">
        <v>97</v>
      </c>
      <c r="B318">
        <v>2</v>
      </c>
      <c r="C318">
        <v>30.015000000000001</v>
      </c>
      <c r="D318">
        <v>4.02E-2</v>
      </c>
      <c r="E318" t="s">
        <v>7</v>
      </c>
      <c r="F318">
        <v>1</v>
      </c>
      <c r="G318">
        <f>COUNTIF(E:E,E318)</f>
        <v>110</v>
      </c>
      <c r="H318">
        <f>COUNTIFS(E:E,E318,A:A,A318,D:D,D318)</f>
        <v>1</v>
      </c>
      <c r="I318" t="e">
        <f>SUMIF([1]Mapeamento!$J:$J,A318,[1]Mapeamento!$L:$L)</f>
        <v>#VALUE!</v>
      </c>
      <c r="J318" s="1" t="e">
        <f>SUMIF('[1]Map_Meso-Ox'!$C:$C,A318,'[1]Map_Meso-Ox'!$D:$D)</f>
        <v>#VALUE!</v>
      </c>
      <c r="K318" s="2" t="e">
        <f t="shared" si="8"/>
        <v>#VALUE!</v>
      </c>
      <c r="L318" s="1" t="e">
        <f>SUMIF('[1]Map_Meso-Ox'!$C:$C,A318,'[1]Map_Meso-Ox'!$E:$E)</f>
        <v>#VALUE!</v>
      </c>
      <c r="M318" s="2" t="e">
        <f t="shared" si="9"/>
        <v>#VALUE!</v>
      </c>
    </row>
    <row r="319" spans="1:13" x14ac:dyDescent="0.25">
      <c r="A319">
        <v>98</v>
      </c>
      <c r="B319">
        <v>2</v>
      </c>
      <c r="C319">
        <v>33.26</v>
      </c>
      <c r="D319">
        <v>0.11559999999999999</v>
      </c>
      <c r="E319" t="s">
        <v>7</v>
      </c>
      <c r="F319">
        <v>0</v>
      </c>
      <c r="G319">
        <f>COUNTIF(E:E,E319)</f>
        <v>110</v>
      </c>
      <c r="H319">
        <f>COUNTIFS(E:E,E319,A:A,A319,D:D,D319)</f>
        <v>1</v>
      </c>
      <c r="I319" t="e">
        <f>SUMIF([1]Mapeamento!$J:$J,A319,[1]Mapeamento!$L:$L)</f>
        <v>#VALUE!</v>
      </c>
      <c r="J319" s="1" t="e">
        <f>SUMIF('[1]Map_Meso-Ox'!$C:$C,A319,'[1]Map_Meso-Ox'!$D:$D)</f>
        <v>#VALUE!</v>
      </c>
      <c r="K319" s="2" t="e">
        <f t="shared" si="8"/>
        <v>#VALUE!</v>
      </c>
      <c r="L319" s="1" t="e">
        <f>SUMIF('[1]Map_Meso-Ox'!$C:$C,A319,'[1]Map_Meso-Ox'!$E:$E)</f>
        <v>#VALUE!</v>
      </c>
      <c r="M319" s="2" t="e">
        <f t="shared" si="9"/>
        <v>#VALUE!</v>
      </c>
    </row>
    <row r="320" spans="1:13" x14ac:dyDescent="0.25">
      <c r="A320">
        <v>99</v>
      </c>
      <c r="B320">
        <v>2</v>
      </c>
      <c r="C320">
        <v>44.801000000000002</v>
      </c>
      <c r="D320">
        <v>5.0000000000000001E-3</v>
      </c>
      <c r="E320" t="s">
        <v>7</v>
      </c>
      <c r="F320">
        <v>1</v>
      </c>
      <c r="G320">
        <f>COUNTIF(E:E,E320)</f>
        <v>110</v>
      </c>
      <c r="H320">
        <f>COUNTIFS(E:E,E320,A:A,A320,D:D,D320)</f>
        <v>1</v>
      </c>
      <c r="I320" t="e">
        <f>SUMIF([1]Mapeamento!$J:$J,A320,[1]Mapeamento!$L:$L)</f>
        <v>#VALUE!</v>
      </c>
      <c r="J320" s="1" t="e">
        <f>SUMIF('[1]Map_Meso-Ox'!$C:$C,A320,'[1]Map_Meso-Ox'!$D:$D)</f>
        <v>#VALUE!</v>
      </c>
      <c r="K320" s="2" t="e">
        <f t="shared" si="8"/>
        <v>#VALUE!</v>
      </c>
      <c r="L320" s="1" t="e">
        <f>SUMIF('[1]Map_Meso-Ox'!$C:$C,A320,'[1]Map_Meso-Ox'!$E:$E)</f>
        <v>#VALUE!</v>
      </c>
      <c r="M320" s="2" t="e">
        <f t="shared" si="9"/>
        <v>#VALUE!</v>
      </c>
    </row>
    <row r="321" spans="1:13" x14ac:dyDescent="0.25">
      <c r="A321">
        <v>100</v>
      </c>
      <c r="B321">
        <v>2</v>
      </c>
      <c r="C321">
        <v>41.804000000000002</v>
      </c>
      <c r="D321">
        <v>1.5100000000000001E-2</v>
      </c>
      <c r="E321" t="s">
        <v>7</v>
      </c>
      <c r="F321">
        <v>2</v>
      </c>
      <c r="G321">
        <f>COUNTIF(E:E,E321)</f>
        <v>110</v>
      </c>
      <c r="H321">
        <f>COUNTIFS(E:E,E321,A:A,A321,D:D,D321)</f>
        <v>1</v>
      </c>
      <c r="I321" t="e">
        <f>SUMIF([1]Mapeamento!$J:$J,A321,[1]Mapeamento!$L:$L)</f>
        <v>#VALUE!</v>
      </c>
      <c r="J321" s="1" t="e">
        <f>SUMIF('[1]Map_Meso-Ox'!$C:$C,A321,'[1]Map_Meso-Ox'!$D:$D)</f>
        <v>#VALUE!</v>
      </c>
      <c r="K321" s="2" t="e">
        <f t="shared" si="8"/>
        <v>#VALUE!</v>
      </c>
      <c r="L321" s="1" t="e">
        <f>SUMIF('[1]Map_Meso-Ox'!$C:$C,A321,'[1]Map_Meso-Ox'!$E:$E)</f>
        <v>#VALUE!</v>
      </c>
      <c r="M321" s="2" t="e">
        <f t="shared" si="9"/>
        <v>#VALUE!</v>
      </c>
    </row>
    <row r="322" spans="1:13" x14ac:dyDescent="0.25">
      <c r="A322">
        <v>101</v>
      </c>
      <c r="B322">
        <v>2</v>
      </c>
      <c r="C322">
        <v>52.627000000000002</v>
      </c>
      <c r="D322">
        <v>0</v>
      </c>
      <c r="E322" t="s">
        <v>7</v>
      </c>
      <c r="F322">
        <v>2</v>
      </c>
      <c r="G322">
        <f>COUNTIF(E:E,E322)</f>
        <v>110</v>
      </c>
      <c r="H322">
        <f>COUNTIFS(E:E,E322,A:A,A322,D:D,D322)</f>
        <v>1</v>
      </c>
      <c r="I322" t="e">
        <f>SUMIF([1]Mapeamento!$J:$J,A322,[1]Mapeamento!$L:$L)</f>
        <v>#VALUE!</v>
      </c>
      <c r="J322" s="1" t="e">
        <f>SUMIF('[1]Map_Meso-Ox'!$C:$C,A322,'[1]Map_Meso-Ox'!$D:$D)</f>
        <v>#VALUE!</v>
      </c>
      <c r="K322" s="2" t="e">
        <f t="shared" si="8"/>
        <v>#VALUE!</v>
      </c>
      <c r="L322" s="1" t="e">
        <f>SUMIF('[1]Map_Meso-Ox'!$C:$C,A322,'[1]Map_Meso-Ox'!$E:$E)</f>
        <v>#VALUE!</v>
      </c>
      <c r="M322" s="2" t="e">
        <f t="shared" si="9"/>
        <v>#VALUE!</v>
      </c>
    </row>
    <row r="323" spans="1:13" x14ac:dyDescent="0.25">
      <c r="A323">
        <v>102</v>
      </c>
      <c r="B323">
        <v>2</v>
      </c>
      <c r="C323">
        <v>37.231999999999999</v>
      </c>
      <c r="D323">
        <v>1.5100000000000001E-2</v>
      </c>
      <c r="E323" t="s">
        <v>7</v>
      </c>
      <c r="F323">
        <v>0</v>
      </c>
      <c r="G323">
        <f>COUNTIF(E:E,E323)</f>
        <v>110</v>
      </c>
      <c r="H323">
        <f>COUNTIFS(E:E,E323,A:A,A323,D:D,D323)</f>
        <v>1</v>
      </c>
      <c r="I323" t="e">
        <f>SUMIF([1]Mapeamento!$J:$J,A323,[1]Mapeamento!$L:$L)</f>
        <v>#VALUE!</v>
      </c>
      <c r="J323" s="1" t="e">
        <f>SUMIF('[1]Map_Meso-Ox'!$C:$C,A323,'[1]Map_Meso-Ox'!$D:$D)</f>
        <v>#VALUE!</v>
      </c>
      <c r="K323" s="2" t="e">
        <f t="shared" ref="K323:K386" si="10">J323/203401269</f>
        <v>#VALUE!</v>
      </c>
      <c r="L323" s="1" t="e">
        <f>SUMIF('[1]Map_Meso-Ox'!$C:$C,A323,'[1]Map_Meso-Ox'!$E:$E)</f>
        <v>#VALUE!</v>
      </c>
      <c r="M323" s="2" t="e">
        <f t="shared" ref="M323:M386" si="11">L323/3868725997.715</f>
        <v>#VALUE!</v>
      </c>
    </row>
    <row r="324" spans="1:13" x14ac:dyDescent="0.25">
      <c r="A324">
        <v>103</v>
      </c>
      <c r="B324">
        <v>2</v>
      </c>
      <c r="C324">
        <v>50.145000000000003</v>
      </c>
      <c r="D324">
        <v>1.01E-2</v>
      </c>
      <c r="E324" t="s">
        <v>7</v>
      </c>
      <c r="F324">
        <v>1</v>
      </c>
      <c r="G324">
        <f>COUNTIF(E:E,E324)</f>
        <v>110</v>
      </c>
      <c r="H324">
        <f>COUNTIFS(E:E,E324,A:A,A324,D:D,D324)</f>
        <v>1</v>
      </c>
      <c r="I324" t="e">
        <f>SUMIF([1]Mapeamento!$J:$J,A324,[1]Mapeamento!$L:$L)</f>
        <v>#VALUE!</v>
      </c>
      <c r="J324" s="1" t="e">
        <f>SUMIF('[1]Map_Meso-Ox'!$C:$C,A324,'[1]Map_Meso-Ox'!$D:$D)</f>
        <v>#VALUE!</v>
      </c>
      <c r="K324" s="2" t="e">
        <f t="shared" si="10"/>
        <v>#VALUE!</v>
      </c>
      <c r="L324" s="1" t="e">
        <f>SUMIF('[1]Map_Meso-Ox'!$C:$C,A324,'[1]Map_Meso-Ox'!$E:$E)</f>
        <v>#VALUE!</v>
      </c>
      <c r="M324" s="2" t="e">
        <f t="shared" si="11"/>
        <v>#VALUE!</v>
      </c>
    </row>
    <row r="325" spans="1:13" x14ac:dyDescent="0.25">
      <c r="A325">
        <v>104</v>
      </c>
      <c r="B325">
        <v>2</v>
      </c>
      <c r="C325">
        <v>27.312999999999999</v>
      </c>
      <c r="D325">
        <v>9.5500000000000002E-2</v>
      </c>
      <c r="E325" t="s">
        <v>7</v>
      </c>
      <c r="F325">
        <v>1</v>
      </c>
      <c r="G325">
        <f>COUNTIF(E:E,E325)</f>
        <v>110</v>
      </c>
      <c r="H325">
        <f>COUNTIFS(E:E,E325,A:A,A325,D:D,D325)</f>
        <v>1</v>
      </c>
      <c r="I325" t="e">
        <f>SUMIF([1]Mapeamento!$J:$J,A325,[1]Mapeamento!$L:$L)</f>
        <v>#VALUE!</v>
      </c>
      <c r="J325" s="1" t="e">
        <f>SUMIF('[1]Map_Meso-Ox'!$C:$C,A325,'[1]Map_Meso-Ox'!$D:$D)</f>
        <v>#VALUE!</v>
      </c>
      <c r="K325" s="2" t="e">
        <f t="shared" si="10"/>
        <v>#VALUE!</v>
      </c>
      <c r="L325" s="1" t="e">
        <f>SUMIF('[1]Map_Meso-Ox'!$C:$C,A325,'[1]Map_Meso-Ox'!$E:$E)</f>
        <v>#VALUE!</v>
      </c>
      <c r="M325" s="2" t="e">
        <f t="shared" si="11"/>
        <v>#VALUE!</v>
      </c>
    </row>
    <row r="326" spans="1:13" x14ac:dyDescent="0.25">
      <c r="A326">
        <v>105</v>
      </c>
      <c r="B326">
        <v>2</v>
      </c>
      <c r="C326">
        <v>20.704999999999998</v>
      </c>
      <c r="D326">
        <v>0.21609999999999999</v>
      </c>
      <c r="E326" t="s">
        <v>7</v>
      </c>
      <c r="F326">
        <v>2</v>
      </c>
      <c r="G326">
        <f>COUNTIF(E:E,E326)</f>
        <v>110</v>
      </c>
      <c r="H326">
        <f>COUNTIFS(E:E,E326,A:A,A326,D:D,D326)</f>
        <v>1</v>
      </c>
      <c r="I326" t="e">
        <f>SUMIF([1]Mapeamento!$J:$J,A326,[1]Mapeamento!$L:$L)</f>
        <v>#VALUE!</v>
      </c>
      <c r="J326" s="1" t="e">
        <f>SUMIF('[1]Map_Meso-Ox'!$C:$C,A326,'[1]Map_Meso-Ox'!$D:$D)</f>
        <v>#VALUE!</v>
      </c>
      <c r="K326" s="2" t="e">
        <f t="shared" si="10"/>
        <v>#VALUE!</v>
      </c>
      <c r="L326" s="1" t="e">
        <f>SUMIF('[1]Map_Meso-Ox'!$C:$C,A326,'[1]Map_Meso-Ox'!$E:$E)</f>
        <v>#VALUE!</v>
      </c>
      <c r="M326" s="2" t="e">
        <f t="shared" si="11"/>
        <v>#VALUE!</v>
      </c>
    </row>
    <row r="327" spans="1:13" x14ac:dyDescent="0.25">
      <c r="A327">
        <v>106</v>
      </c>
      <c r="B327">
        <v>2</v>
      </c>
      <c r="C327">
        <v>38.828000000000003</v>
      </c>
      <c r="D327">
        <v>1.5100000000000001E-2</v>
      </c>
      <c r="E327" t="s">
        <v>7</v>
      </c>
      <c r="F327">
        <v>2</v>
      </c>
      <c r="G327">
        <f>COUNTIF(E:E,E327)</f>
        <v>110</v>
      </c>
      <c r="H327">
        <f>COUNTIFS(E:E,E327,A:A,A327,D:D,D327)</f>
        <v>1</v>
      </c>
      <c r="I327" t="e">
        <f>SUMIF([1]Mapeamento!$J:$J,A327,[1]Mapeamento!$L:$L)</f>
        <v>#VALUE!</v>
      </c>
      <c r="J327" s="1" t="e">
        <f>SUMIF('[1]Map_Meso-Ox'!$C:$C,A327,'[1]Map_Meso-Ox'!$D:$D)</f>
        <v>#VALUE!</v>
      </c>
      <c r="K327" s="2" t="e">
        <f t="shared" si="10"/>
        <v>#VALUE!</v>
      </c>
      <c r="L327" s="1" t="e">
        <f>SUMIF('[1]Map_Meso-Ox'!$C:$C,A327,'[1]Map_Meso-Ox'!$E:$E)</f>
        <v>#VALUE!</v>
      </c>
      <c r="M327" s="2" t="e">
        <f t="shared" si="11"/>
        <v>#VALUE!</v>
      </c>
    </row>
    <row r="328" spans="1:13" x14ac:dyDescent="0.25">
      <c r="A328">
        <v>107</v>
      </c>
      <c r="B328">
        <v>2</v>
      </c>
      <c r="C328">
        <v>27.939</v>
      </c>
      <c r="D328">
        <v>7.0400000000000004E-2</v>
      </c>
      <c r="E328" t="s">
        <v>7</v>
      </c>
      <c r="F328">
        <v>1</v>
      </c>
      <c r="G328">
        <f>COUNTIF(E:E,E328)</f>
        <v>110</v>
      </c>
      <c r="H328">
        <f>COUNTIFS(E:E,E328,A:A,A328,D:D,D328)</f>
        <v>1</v>
      </c>
      <c r="I328" t="e">
        <f>SUMIF([1]Mapeamento!$J:$J,A328,[1]Mapeamento!$L:$L)</f>
        <v>#VALUE!</v>
      </c>
      <c r="J328" s="1" t="e">
        <f>SUMIF('[1]Map_Meso-Ox'!$C:$C,A328,'[1]Map_Meso-Ox'!$D:$D)</f>
        <v>#VALUE!</v>
      </c>
      <c r="K328" s="2" t="e">
        <f t="shared" si="10"/>
        <v>#VALUE!</v>
      </c>
      <c r="L328" s="1" t="e">
        <f>SUMIF('[1]Map_Meso-Ox'!$C:$C,A328,'[1]Map_Meso-Ox'!$E:$E)</f>
        <v>#VALUE!</v>
      </c>
      <c r="M328" s="2" t="e">
        <f t="shared" si="11"/>
        <v>#VALUE!</v>
      </c>
    </row>
    <row r="329" spans="1:13" x14ac:dyDescent="0.25">
      <c r="A329">
        <v>108</v>
      </c>
      <c r="B329">
        <v>2</v>
      </c>
      <c r="C329">
        <v>32.796999999999997</v>
      </c>
      <c r="D329">
        <v>2.5100000000000001E-2</v>
      </c>
      <c r="E329" t="s">
        <v>7</v>
      </c>
      <c r="F329">
        <v>1</v>
      </c>
      <c r="G329">
        <f>COUNTIF(E:E,E329)</f>
        <v>110</v>
      </c>
      <c r="H329">
        <f>COUNTIFS(E:E,E329,A:A,A329,D:D,D329)</f>
        <v>1</v>
      </c>
      <c r="I329" t="e">
        <f>SUMIF([1]Mapeamento!$J:$J,A329,[1]Mapeamento!$L:$L)</f>
        <v>#VALUE!</v>
      </c>
      <c r="J329" s="1" t="e">
        <f>SUMIF('[1]Map_Meso-Ox'!$C:$C,A329,'[1]Map_Meso-Ox'!$D:$D)</f>
        <v>#VALUE!</v>
      </c>
      <c r="K329" s="2" t="e">
        <f t="shared" si="10"/>
        <v>#VALUE!</v>
      </c>
      <c r="L329" s="1" t="e">
        <f>SUMIF('[1]Map_Meso-Ox'!$C:$C,A329,'[1]Map_Meso-Ox'!$E:$E)</f>
        <v>#VALUE!</v>
      </c>
      <c r="M329" s="2" t="e">
        <f t="shared" si="11"/>
        <v>#VALUE!</v>
      </c>
    </row>
    <row r="330" spans="1:13" x14ac:dyDescent="0.25">
      <c r="A330">
        <v>109</v>
      </c>
      <c r="B330">
        <v>2</v>
      </c>
      <c r="C330">
        <v>37.917000000000002</v>
      </c>
      <c r="D330">
        <v>2.01E-2</v>
      </c>
      <c r="E330" t="s">
        <v>7</v>
      </c>
      <c r="F330">
        <v>1</v>
      </c>
      <c r="G330">
        <f>COUNTIF(E:E,E330)</f>
        <v>110</v>
      </c>
      <c r="H330">
        <f>COUNTIFS(E:E,E330,A:A,A330,D:D,D330)</f>
        <v>1</v>
      </c>
      <c r="I330" t="e">
        <f>SUMIF([1]Mapeamento!$J:$J,A330,[1]Mapeamento!$L:$L)</f>
        <v>#VALUE!</v>
      </c>
      <c r="J330" s="1" t="e">
        <f>SUMIF('[1]Map_Meso-Ox'!$C:$C,A330,'[1]Map_Meso-Ox'!$D:$D)</f>
        <v>#VALUE!</v>
      </c>
      <c r="K330" s="2" t="e">
        <f t="shared" si="10"/>
        <v>#VALUE!</v>
      </c>
      <c r="L330" s="1" t="e">
        <f>SUMIF('[1]Map_Meso-Ox'!$C:$C,A330,'[1]Map_Meso-Ox'!$E:$E)</f>
        <v>#VALUE!</v>
      </c>
      <c r="M330" s="2" t="e">
        <f t="shared" si="11"/>
        <v>#VALUE!</v>
      </c>
    </row>
    <row r="331" spans="1:13" x14ac:dyDescent="0.25">
      <c r="A331">
        <v>110</v>
      </c>
      <c r="B331">
        <v>2</v>
      </c>
      <c r="C331">
        <v>41.686</v>
      </c>
      <c r="D331">
        <v>2.01E-2</v>
      </c>
      <c r="E331" t="s">
        <v>7</v>
      </c>
      <c r="F331">
        <v>2</v>
      </c>
      <c r="G331">
        <f>COUNTIF(E:E,E331)</f>
        <v>110</v>
      </c>
      <c r="H331">
        <f>COUNTIFS(E:E,E331,A:A,A331,D:D,D331)</f>
        <v>1</v>
      </c>
      <c r="I331" t="e">
        <f>SUMIF([1]Mapeamento!$J:$J,A331,[1]Mapeamento!$L:$L)</f>
        <v>#VALUE!</v>
      </c>
      <c r="J331" s="1" t="e">
        <f>SUMIF('[1]Map_Meso-Ox'!$C:$C,A331,'[1]Map_Meso-Ox'!$D:$D)</f>
        <v>#VALUE!</v>
      </c>
      <c r="K331" s="2" t="e">
        <f t="shared" si="10"/>
        <v>#VALUE!</v>
      </c>
      <c r="L331" s="1" t="e">
        <f>SUMIF('[1]Map_Meso-Ox'!$C:$C,A331,'[1]Map_Meso-Ox'!$E:$E)</f>
        <v>#VALUE!</v>
      </c>
      <c r="M331" s="2" t="e">
        <f t="shared" si="11"/>
        <v>#VALUE!</v>
      </c>
    </row>
    <row r="332" spans="1:13" x14ac:dyDescent="0.25">
      <c r="A332">
        <v>1</v>
      </c>
      <c r="B332">
        <v>-1</v>
      </c>
      <c r="C332">
        <v>77.728999999999999</v>
      </c>
      <c r="D332">
        <v>0</v>
      </c>
      <c r="E332" t="s">
        <v>8</v>
      </c>
      <c r="F332">
        <v>2</v>
      </c>
      <c r="G332">
        <f>COUNTIF(E:E,E332)</f>
        <v>110</v>
      </c>
      <c r="H332">
        <f>COUNTIFS(E:E,E332,A:A,A332,D:D,D332)</f>
        <v>1</v>
      </c>
      <c r="I332" t="e">
        <f>SUMIF([1]Mapeamento!$J:$J,A332,[1]Mapeamento!$L:$L)</f>
        <v>#VALUE!</v>
      </c>
      <c r="J332" s="1" t="e">
        <f>SUMIF('[1]Map_Meso-Ox'!$C:$C,A332,'[1]Map_Meso-Ox'!$D:$D)</f>
        <v>#VALUE!</v>
      </c>
      <c r="K332" s="2" t="e">
        <f t="shared" si="10"/>
        <v>#VALUE!</v>
      </c>
      <c r="L332" s="1" t="e">
        <f>SUMIF('[1]Map_Meso-Ox'!$C:$C,A332,'[1]Map_Meso-Ox'!$E:$E)</f>
        <v>#VALUE!</v>
      </c>
      <c r="M332" s="2" t="e">
        <f t="shared" si="11"/>
        <v>#VALUE!</v>
      </c>
    </row>
    <row r="333" spans="1:13" x14ac:dyDescent="0.25">
      <c r="A333">
        <v>2</v>
      </c>
      <c r="B333">
        <v>-1</v>
      </c>
      <c r="C333">
        <v>85.337000000000003</v>
      </c>
      <c r="D333">
        <v>0</v>
      </c>
      <c r="E333" t="s">
        <v>8</v>
      </c>
      <c r="F333">
        <v>2</v>
      </c>
      <c r="G333">
        <f>COUNTIF(E:E,E333)</f>
        <v>110</v>
      </c>
      <c r="H333">
        <f>COUNTIFS(E:E,E333,A:A,A333,D:D,D333)</f>
        <v>1</v>
      </c>
      <c r="I333" t="e">
        <f>SUMIF([1]Mapeamento!$J:$J,A333,[1]Mapeamento!$L:$L)</f>
        <v>#VALUE!</v>
      </c>
      <c r="J333" s="1" t="e">
        <f>SUMIF('[1]Map_Meso-Ox'!$C:$C,A333,'[1]Map_Meso-Ox'!$D:$D)</f>
        <v>#VALUE!</v>
      </c>
      <c r="K333" s="2" t="e">
        <f t="shared" si="10"/>
        <v>#VALUE!</v>
      </c>
      <c r="L333" s="1" t="e">
        <f>SUMIF('[1]Map_Meso-Ox'!$C:$C,A333,'[1]Map_Meso-Ox'!$E:$E)</f>
        <v>#VALUE!</v>
      </c>
      <c r="M333" s="2" t="e">
        <f t="shared" si="11"/>
        <v>#VALUE!</v>
      </c>
    </row>
    <row r="334" spans="1:13" x14ac:dyDescent="0.25">
      <c r="A334">
        <v>3</v>
      </c>
      <c r="B334">
        <v>-1</v>
      </c>
      <c r="C334">
        <v>51.204999999999998</v>
      </c>
      <c r="D334">
        <v>5.0000000000000001E-3</v>
      </c>
      <c r="E334" t="s">
        <v>8</v>
      </c>
      <c r="F334">
        <v>1</v>
      </c>
      <c r="G334">
        <f>COUNTIF(E:E,E334)</f>
        <v>110</v>
      </c>
      <c r="H334">
        <f>COUNTIFS(E:E,E334,A:A,A334,D:D,D334)</f>
        <v>1</v>
      </c>
      <c r="I334" t="e">
        <f>SUMIF([1]Mapeamento!$J:$J,A334,[1]Mapeamento!$L:$L)</f>
        <v>#VALUE!</v>
      </c>
      <c r="J334" s="1" t="e">
        <f>SUMIF('[1]Map_Meso-Ox'!$C:$C,A334,'[1]Map_Meso-Ox'!$D:$D)</f>
        <v>#VALUE!</v>
      </c>
      <c r="K334" s="2" t="e">
        <f t="shared" si="10"/>
        <v>#VALUE!</v>
      </c>
      <c r="L334" s="1" t="e">
        <f>SUMIF('[1]Map_Meso-Ox'!$C:$C,A334,'[1]Map_Meso-Ox'!$E:$E)</f>
        <v>#VALUE!</v>
      </c>
      <c r="M334" s="2" t="e">
        <f t="shared" si="11"/>
        <v>#VALUE!</v>
      </c>
    </row>
    <row r="335" spans="1:13" x14ac:dyDescent="0.25">
      <c r="A335">
        <v>4</v>
      </c>
      <c r="B335">
        <v>-1</v>
      </c>
      <c r="C335">
        <v>72.298000000000002</v>
      </c>
      <c r="D335">
        <v>0</v>
      </c>
      <c r="E335" t="s">
        <v>8</v>
      </c>
      <c r="F335">
        <v>1</v>
      </c>
      <c r="G335">
        <f>COUNTIF(E:E,E335)</f>
        <v>110</v>
      </c>
      <c r="H335">
        <f>COUNTIFS(E:E,E335,A:A,A335,D:D,D335)</f>
        <v>1</v>
      </c>
      <c r="I335" t="e">
        <f>SUMIF([1]Mapeamento!$J:$J,A335,[1]Mapeamento!$L:$L)</f>
        <v>#VALUE!</v>
      </c>
      <c r="J335" s="1" t="e">
        <f>SUMIF('[1]Map_Meso-Ox'!$C:$C,A335,'[1]Map_Meso-Ox'!$D:$D)</f>
        <v>#VALUE!</v>
      </c>
      <c r="K335" s="2" t="e">
        <f t="shared" si="10"/>
        <v>#VALUE!</v>
      </c>
      <c r="L335" s="1" t="e">
        <f>SUMIF('[1]Map_Meso-Ox'!$C:$C,A335,'[1]Map_Meso-Ox'!$E:$E)</f>
        <v>#VALUE!</v>
      </c>
      <c r="M335" s="2" t="e">
        <f t="shared" si="11"/>
        <v>#VALUE!</v>
      </c>
    </row>
    <row r="336" spans="1:13" x14ac:dyDescent="0.25">
      <c r="A336">
        <v>5</v>
      </c>
      <c r="B336">
        <v>-1</v>
      </c>
      <c r="C336">
        <v>41.177999999999997</v>
      </c>
      <c r="D336">
        <v>0.12559999999999999</v>
      </c>
      <c r="E336" t="s">
        <v>8</v>
      </c>
      <c r="F336">
        <v>0</v>
      </c>
      <c r="G336">
        <f>COUNTIF(E:E,E336)</f>
        <v>110</v>
      </c>
      <c r="H336">
        <f>COUNTIFS(E:E,E336,A:A,A336,D:D,D336)</f>
        <v>1</v>
      </c>
      <c r="I336" t="e">
        <f>SUMIF([1]Mapeamento!$J:$J,A336,[1]Mapeamento!$L:$L)</f>
        <v>#VALUE!</v>
      </c>
      <c r="J336" s="1" t="e">
        <f>SUMIF('[1]Map_Meso-Ox'!$C:$C,A336,'[1]Map_Meso-Ox'!$D:$D)</f>
        <v>#VALUE!</v>
      </c>
      <c r="K336" s="2" t="e">
        <f t="shared" si="10"/>
        <v>#VALUE!</v>
      </c>
      <c r="L336" s="1" t="e">
        <f>SUMIF('[1]Map_Meso-Ox'!$C:$C,A336,'[1]Map_Meso-Ox'!$E:$E)</f>
        <v>#VALUE!</v>
      </c>
      <c r="M336" s="2" t="e">
        <f t="shared" si="11"/>
        <v>#VALUE!</v>
      </c>
    </row>
    <row r="337" spans="1:13" x14ac:dyDescent="0.25">
      <c r="A337">
        <v>6</v>
      </c>
      <c r="B337">
        <v>-1</v>
      </c>
      <c r="C337">
        <v>65.724999999999994</v>
      </c>
      <c r="D337">
        <v>0</v>
      </c>
      <c r="E337" t="s">
        <v>8</v>
      </c>
      <c r="F337">
        <v>1</v>
      </c>
      <c r="G337">
        <f>COUNTIF(E:E,E337)</f>
        <v>110</v>
      </c>
      <c r="H337">
        <f>COUNTIFS(E:E,E337,A:A,A337,D:D,D337)</f>
        <v>1</v>
      </c>
      <c r="I337" t="e">
        <f>SUMIF([1]Mapeamento!$J:$J,A337,[1]Mapeamento!$L:$L)</f>
        <v>#VALUE!</v>
      </c>
      <c r="J337" s="1" t="e">
        <f>SUMIF('[1]Map_Meso-Ox'!$C:$C,A337,'[1]Map_Meso-Ox'!$D:$D)</f>
        <v>#VALUE!</v>
      </c>
      <c r="K337" s="2" t="e">
        <f t="shared" si="10"/>
        <v>#VALUE!</v>
      </c>
      <c r="L337" s="1" t="e">
        <f>SUMIF('[1]Map_Meso-Ox'!$C:$C,A337,'[1]Map_Meso-Ox'!$E:$E)</f>
        <v>#VALUE!</v>
      </c>
      <c r="M337" s="2" t="e">
        <f t="shared" si="11"/>
        <v>#VALUE!</v>
      </c>
    </row>
    <row r="338" spans="1:13" x14ac:dyDescent="0.25">
      <c r="A338">
        <v>7</v>
      </c>
      <c r="B338">
        <v>-1</v>
      </c>
      <c r="C338">
        <v>55.905000000000001</v>
      </c>
      <c r="D338">
        <v>2.01E-2</v>
      </c>
      <c r="E338" t="s">
        <v>8</v>
      </c>
      <c r="F338">
        <v>1</v>
      </c>
      <c r="G338">
        <f>COUNTIF(E:E,E338)</f>
        <v>110</v>
      </c>
      <c r="H338">
        <f>COUNTIFS(E:E,E338,A:A,A338,D:D,D338)</f>
        <v>1</v>
      </c>
      <c r="I338" t="e">
        <f>SUMIF([1]Mapeamento!$J:$J,A338,[1]Mapeamento!$L:$L)</f>
        <v>#VALUE!</v>
      </c>
      <c r="J338" s="1" t="e">
        <f>SUMIF('[1]Map_Meso-Ox'!$C:$C,A338,'[1]Map_Meso-Ox'!$D:$D)</f>
        <v>#VALUE!</v>
      </c>
      <c r="K338" s="2" t="e">
        <f t="shared" si="10"/>
        <v>#VALUE!</v>
      </c>
      <c r="L338" s="1" t="e">
        <f>SUMIF('[1]Map_Meso-Ox'!$C:$C,A338,'[1]Map_Meso-Ox'!$E:$E)</f>
        <v>#VALUE!</v>
      </c>
      <c r="M338" s="2" t="e">
        <f t="shared" si="11"/>
        <v>#VALUE!</v>
      </c>
    </row>
    <row r="339" spans="1:13" x14ac:dyDescent="0.25">
      <c r="A339">
        <v>8</v>
      </c>
      <c r="B339">
        <v>-1</v>
      </c>
      <c r="C339">
        <v>47.942999999999998</v>
      </c>
      <c r="D339">
        <v>4.02E-2</v>
      </c>
      <c r="E339" t="s">
        <v>8</v>
      </c>
      <c r="F339">
        <v>0</v>
      </c>
      <c r="G339">
        <f>COUNTIF(E:E,E339)</f>
        <v>110</v>
      </c>
      <c r="H339">
        <f>COUNTIFS(E:E,E339,A:A,A339,D:D,D339)</f>
        <v>1</v>
      </c>
      <c r="I339" t="e">
        <f>SUMIF([1]Mapeamento!$J:$J,A339,[1]Mapeamento!$L:$L)</f>
        <v>#VALUE!</v>
      </c>
      <c r="J339" s="1" t="e">
        <f>SUMIF('[1]Map_Meso-Ox'!$C:$C,A339,'[1]Map_Meso-Ox'!$D:$D)</f>
        <v>#VALUE!</v>
      </c>
      <c r="K339" s="2" t="e">
        <f t="shared" si="10"/>
        <v>#VALUE!</v>
      </c>
      <c r="L339" s="1" t="e">
        <f>SUMIF('[1]Map_Meso-Ox'!$C:$C,A339,'[1]Map_Meso-Ox'!$E:$E)</f>
        <v>#VALUE!</v>
      </c>
      <c r="M339" s="2" t="e">
        <f t="shared" si="11"/>
        <v>#VALUE!</v>
      </c>
    </row>
    <row r="340" spans="1:13" x14ac:dyDescent="0.25">
      <c r="A340">
        <v>9</v>
      </c>
      <c r="B340">
        <v>-1</v>
      </c>
      <c r="C340">
        <v>54.01</v>
      </c>
      <c r="D340">
        <v>2.5100000000000001E-2</v>
      </c>
      <c r="E340" t="s">
        <v>8</v>
      </c>
      <c r="F340">
        <v>0</v>
      </c>
      <c r="G340">
        <f>COUNTIF(E:E,E340)</f>
        <v>110</v>
      </c>
      <c r="H340">
        <f>COUNTIFS(E:E,E340,A:A,A340,D:D,D340)</f>
        <v>1</v>
      </c>
      <c r="I340" t="e">
        <f>SUMIF([1]Mapeamento!$J:$J,A340,[1]Mapeamento!$L:$L)</f>
        <v>#VALUE!</v>
      </c>
      <c r="J340" s="1" t="e">
        <f>SUMIF('[1]Map_Meso-Ox'!$C:$C,A340,'[1]Map_Meso-Ox'!$D:$D)</f>
        <v>#VALUE!</v>
      </c>
      <c r="K340" s="2" t="e">
        <f t="shared" si="10"/>
        <v>#VALUE!</v>
      </c>
      <c r="L340" s="1" t="e">
        <f>SUMIF('[1]Map_Meso-Ox'!$C:$C,A340,'[1]Map_Meso-Ox'!$E:$E)</f>
        <v>#VALUE!</v>
      </c>
      <c r="M340" s="2" t="e">
        <f t="shared" si="11"/>
        <v>#VALUE!</v>
      </c>
    </row>
    <row r="341" spans="1:13" x14ac:dyDescent="0.25">
      <c r="A341">
        <v>10</v>
      </c>
      <c r="B341">
        <v>-1</v>
      </c>
      <c r="C341">
        <v>52.732999999999997</v>
      </c>
      <c r="D341">
        <v>3.0200000000000001E-2</v>
      </c>
      <c r="E341" t="s">
        <v>8</v>
      </c>
      <c r="F341">
        <v>0</v>
      </c>
      <c r="G341">
        <f>COUNTIF(E:E,E341)</f>
        <v>110</v>
      </c>
      <c r="H341">
        <f>COUNTIFS(E:E,E341,A:A,A341,D:D,D341)</f>
        <v>1</v>
      </c>
      <c r="I341" t="e">
        <f>SUMIF([1]Mapeamento!$J:$J,A341,[1]Mapeamento!$L:$L)</f>
        <v>#VALUE!</v>
      </c>
      <c r="J341" s="1" t="e">
        <f>SUMIF('[1]Map_Meso-Ox'!$C:$C,A341,'[1]Map_Meso-Ox'!$D:$D)</f>
        <v>#VALUE!</v>
      </c>
      <c r="K341" s="2" t="e">
        <f t="shared" si="10"/>
        <v>#VALUE!</v>
      </c>
      <c r="L341" s="1" t="e">
        <f>SUMIF('[1]Map_Meso-Ox'!$C:$C,A341,'[1]Map_Meso-Ox'!$E:$E)</f>
        <v>#VALUE!</v>
      </c>
      <c r="M341" s="2" t="e">
        <f t="shared" si="11"/>
        <v>#VALUE!</v>
      </c>
    </row>
    <row r="342" spans="1:13" x14ac:dyDescent="0.25">
      <c r="A342">
        <v>11</v>
      </c>
      <c r="B342">
        <v>-1</v>
      </c>
      <c r="C342">
        <v>49.024000000000001</v>
      </c>
      <c r="D342">
        <v>4.02E-2</v>
      </c>
      <c r="E342" t="s">
        <v>8</v>
      </c>
      <c r="F342">
        <v>0</v>
      </c>
      <c r="G342">
        <f>COUNTIF(E:E,E342)</f>
        <v>110</v>
      </c>
      <c r="H342">
        <f>COUNTIFS(E:E,E342,A:A,A342,D:D,D342)</f>
        <v>1</v>
      </c>
      <c r="I342" t="e">
        <f>SUMIF([1]Mapeamento!$J:$J,A342,[1]Mapeamento!$L:$L)</f>
        <v>#VALUE!</v>
      </c>
      <c r="J342" s="1" t="e">
        <f>SUMIF('[1]Map_Meso-Ox'!$C:$C,A342,'[1]Map_Meso-Ox'!$D:$D)</f>
        <v>#VALUE!</v>
      </c>
      <c r="K342" s="2" t="e">
        <f t="shared" si="10"/>
        <v>#VALUE!</v>
      </c>
      <c r="L342" s="1" t="e">
        <f>SUMIF('[1]Map_Meso-Ox'!$C:$C,A342,'[1]Map_Meso-Ox'!$E:$E)</f>
        <v>#VALUE!</v>
      </c>
      <c r="M342" s="2" t="e">
        <f t="shared" si="11"/>
        <v>#VALUE!</v>
      </c>
    </row>
    <row r="343" spans="1:13" x14ac:dyDescent="0.25">
      <c r="A343">
        <v>12</v>
      </c>
      <c r="B343">
        <v>-1</v>
      </c>
      <c r="C343">
        <v>62.962000000000003</v>
      </c>
      <c r="D343">
        <v>5.0000000000000001E-3</v>
      </c>
      <c r="E343" t="s">
        <v>8</v>
      </c>
      <c r="F343">
        <v>1</v>
      </c>
      <c r="G343">
        <f>COUNTIF(E:E,E343)</f>
        <v>110</v>
      </c>
      <c r="H343">
        <f>COUNTIFS(E:E,E343,A:A,A343,D:D,D343)</f>
        <v>1</v>
      </c>
      <c r="I343" t="e">
        <f>SUMIF([1]Mapeamento!$J:$J,A343,[1]Mapeamento!$L:$L)</f>
        <v>#VALUE!</v>
      </c>
      <c r="J343" s="1" t="e">
        <f>SUMIF('[1]Map_Meso-Ox'!$C:$C,A343,'[1]Map_Meso-Ox'!$D:$D)</f>
        <v>#VALUE!</v>
      </c>
      <c r="K343" s="2" t="e">
        <f t="shared" si="10"/>
        <v>#VALUE!</v>
      </c>
      <c r="L343" s="1" t="e">
        <f>SUMIF('[1]Map_Meso-Ox'!$C:$C,A343,'[1]Map_Meso-Ox'!$E:$E)</f>
        <v>#VALUE!</v>
      </c>
      <c r="M343" s="2" t="e">
        <f t="shared" si="11"/>
        <v>#VALUE!</v>
      </c>
    </row>
    <row r="344" spans="1:13" x14ac:dyDescent="0.25">
      <c r="A344">
        <v>13</v>
      </c>
      <c r="B344">
        <v>-1</v>
      </c>
      <c r="C344">
        <v>73.021000000000001</v>
      </c>
      <c r="D344">
        <v>0</v>
      </c>
      <c r="E344" t="s">
        <v>8</v>
      </c>
      <c r="F344">
        <v>1</v>
      </c>
      <c r="G344">
        <f>COUNTIF(E:E,E344)</f>
        <v>110</v>
      </c>
      <c r="H344">
        <f>COUNTIFS(E:E,E344,A:A,A344,D:D,D344)</f>
        <v>1</v>
      </c>
      <c r="I344" t="e">
        <f>SUMIF([1]Mapeamento!$J:$J,A344,[1]Mapeamento!$L:$L)</f>
        <v>#VALUE!</v>
      </c>
      <c r="J344" s="1" t="e">
        <f>SUMIF('[1]Map_Meso-Ox'!$C:$C,A344,'[1]Map_Meso-Ox'!$D:$D)</f>
        <v>#VALUE!</v>
      </c>
      <c r="K344" s="2" t="e">
        <f t="shared" si="10"/>
        <v>#VALUE!</v>
      </c>
      <c r="L344" s="1" t="e">
        <f>SUMIF('[1]Map_Meso-Ox'!$C:$C,A344,'[1]Map_Meso-Ox'!$E:$E)</f>
        <v>#VALUE!</v>
      </c>
      <c r="M344" s="2" t="e">
        <f t="shared" si="11"/>
        <v>#VALUE!</v>
      </c>
    </row>
    <row r="345" spans="1:13" x14ac:dyDescent="0.25">
      <c r="A345">
        <v>14</v>
      </c>
      <c r="B345">
        <v>-1</v>
      </c>
      <c r="C345">
        <v>70.614999999999995</v>
      </c>
      <c r="D345">
        <v>0</v>
      </c>
      <c r="E345" t="s">
        <v>8</v>
      </c>
      <c r="F345">
        <v>1</v>
      </c>
      <c r="G345">
        <f>COUNTIF(E:E,E345)</f>
        <v>110</v>
      </c>
      <c r="H345">
        <f>COUNTIFS(E:E,E345,A:A,A345,D:D,D345)</f>
        <v>1</v>
      </c>
      <c r="I345" t="e">
        <f>SUMIF([1]Mapeamento!$J:$J,A345,[1]Mapeamento!$L:$L)</f>
        <v>#VALUE!</v>
      </c>
      <c r="J345" s="1" t="e">
        <f>SUMIF('[1]Map_Meso-Ox'!$C:$C,A345,'[1]Map_Meso-Ox'!$D:$D)</f>
        <v>#VALUE!</v>
      </c>
      <c r="K345" s="2" t="e">
        <f t="shared" si="10"/>
        <v>#VALUE!</v>
      </c>
      <c r="L345" s="1" t="e">
        <f>SUMIF('[1]Map_Meso-Ox'!$C:$C,A345,'[1]Map_Meso-Ox'!$E:$E)</f>
        <v>#VALUE!</v>
      </c>
      <c r="M345" s="2" t="e">
        <f t="shared" si="11"/>
        <v>#VALUE!</v>
      </c>
    </row>
    <row r="346" spans="1:13" x14ac:dyDescent="0.25">
      <c r="A346">
        <v>15</v>
      </c>
      <c r="B346">
        <v>-1</v>
      </c>
      <c r="C346">
        <v>58.246000000000002</v>
      </c>
      <c r="D346">
        <v>2.5100000000000001E-2</v>
      </c>
      <c r="E346" t="s">
        <v>8</v>
      </c>
      <c r="F346">
        <v>0</v>
      </c>
      <c r="G346">
        <f>COUNTIF(E:E,E346)</f>
        <v>110</v>
      </c>
      <c r="H346">
        <f>COUNTIFS(E:E,E346,A:A,A346,D:D,D346)</f>
        <v>1</v>
      </c>
      <c r="I346" t="e">
        <f>SUMIF([1]Mapeamento!$J:$J,A346,[1]Mapeamento!$L:$L)</f>
        <v>#VALUE!</v>
      </c>
      <c r="J346" s="1" t="e">
        <f>SUMIF('[1]Map_Meso-Ox'!$C:$C,A346,'[1]Map_Meso-Ox'!$D:$D)</f>
        <v>#VALUE!</v>
      </c>
      <c r="K346" s="2" t="e">
        <f t="shared" si="10"/>
        <v>#VALUE!</v>
      </c>
      <c r="L346" s="1" t="e">
        <f>SUMIF('[1]Map_Meso-Ox'!$C:$C,A346,'[1]Map_Meso-Ox'!$E:$E)</f>
        <v>#VALUE!</v>
      </c>
      <c r="M346" s="2" t="e">
        <f t="shared" si="11"/>
        <v>#VALUE!</v>
      </c>
    </row>
    <row r="347" spans="1:13" x14ac:dyDescent="0.25">
      <c r="A347">
        <v>16</v>
      </c>
      <c r="B347">
        <v>-1</v>
      </c>
      <c r="C347">
        <v>77.027000000000001</v>
      </c>
      <c r="D347">
        <v>0</v>
      </c>
      <c r="E347" t="s">
        <v>8</v>
      </c>
      <c r="F347">
        <v>1</v>
      </c>
      <c r="G347">
        <f>COUNTIF(E:E,E347)</f>
        <v>110</v>
      </c>
      <c r="H347">
        <f>COUNTIFS(E:E,E347,A:A,A347,D:D,D347)</f>
        <v>1</v>
      </c>
      <c r="I347" t="e">
        <f>SUMIF([1]Mapeamento!$J:$J,A347,[1]Mapeamento!$L:$L)</f>
        <v>#VALUE!</v>
      </c>
      <c r="J347" s="1" t="e">
        <f>SUMIF('[1]Map_Meso-Ox'!$C:$C,A347,'[1]Map_Meso-Ox'!$D:$D)</f>
        <v>#VALUE!</v>
      </c>
      <c r="K347" s="2" t="e">
        <f t="shared" si="10"/>
        <v>#VALUE!</v>
      </c>
      <c r="L347" s="1" t="e">
        <f>SUMIF('[1]Map_Meso-Ox'!$C:$C,A347,'[1]Map_Meso-Ox'!$E:$E)</f>
        <v>#VALUE!</v>
      </c>
      <c r="M347" s="2" t="e">
        <f t="shared" si="11"/>
        <v>#VALUE!</v>
      </c>
    </row>
    <row r="348" spans="1:13" x14ac:dyDescent="0.25">
      <c r="A348">
        <v>17</v>
      </c>
      <c r="B348">
        <v>-1</v>
      </c>
      <c r="C348">
        <v>88.835999999999999</v>
      </c>
      <c r="D348">
        <v>0</v>
      </c>
      <c r="E348" t="s">
        <v>8</v>
      </c>
      <c r="F348">
        <v>3</v>
      </c>
      <c r="G348">
        <f>COUNTIF(E:E,E348)</f>
        <v>110</v>
      </c>
      <c r="H348">
        <f>COUNTIFS(E:E,E348,A:A,A348,D:D,D348)</f>
        <v>1</v>
      </c>
      <c r="I348" t="e">
        <f>SUMIF([1]Mapeamento!$J:$J,A348,[1]Mapeamento!$L:$L)</f>
        <v>#VALUE!</v>
      </c>
      <c r="J348" s="1" t="e">
        <f>SUMIF('[1]Map_Meso-Ox'!$C:$C,A348,'[1]Map_Meso-Ox'!$D:$D)</f>
        <v>#VALUE!</v>
      </c>
      <c r="K348" s="2" t="e">
        <f t="shared" si="10"/>
        <v>#VALUE!</v>
      </c>
      <c r="L348" s="1" t="e">
        <f>SUMIF('[1]Map_Meso-Ox'!$C:$C,A348,'[1]Map_Meso-Ox'!$E:$E)</f>
        <v>#VALUE!</v>
      </c>
      <c r="M348" s="2" t="e">
        <f t="shared" si="11"/>
        <v>#VALUE!</v>
      </c>
    </row>
    <row r="349" spans="1:13" x14ac:dyDescent="0.25">
      <c r="A349">
        <v>18</v>
      </c>
      <c r="B349">
        <v>-1</v>
      </c>
      <c r="C349">
        <v>80.281999999999996</v>
      </c>
      <c r="D349">
        <v>0</v>
      </c>
      <c r="E349" t="s">
        <v>8</v>
      </c>
      <c r="F349">
        <v>3</v>
      </c>
      <c r="G349">
        <f>COUNTIF(E:E,E349)</f>
        <v>110</v>
      </c>
      <c r="H349">
        <f>COUNTIFS(E:E,E349,A:A,A349,D:D,D349)</f>
        <v>1</v>
      </c>
      <c r="I349" t="e">
        <f>SUMIF([1]Mapeamento!$J:$J,A349,[1]Mapeamento!$L:$L)</f>
        <v>#VALUE!</v>
      </c>
      <c r="J349" s="1" t="e">
        <f>SUMIF('[1]Map_Meso-Ox'!$C:$C,A349,'[1]Map_Meso-Ox'!$D:$D)</f>
        <v>#VALUE!</v>
      </c>
      <c r="K349" s="2" t="e">
        <f t="shared" si="10"/>
        <v>#VALUE!</v>
      </c>
      <c r="L349" s="1" t="e">
        <f>SUMIF('[1]Map_Meso-Ox'!$C:$C,A349,'[1]Map_Meso-Ox'!$E:$E)</f>
        <v>#VALUE!</v>
      </c>
      <c r="M349" s="2" t="e">
        <f t="shared" si="11"/>
        <v>#VALUE!</v>
      </c>
    </row>
    <row r="350" spans="1:13" x14ac:dyDescent="0.25">
      <c r="A350">
        <v>19</v>
      </c>
      <c r="B350">
        <v>-1</v>
      </c>
      <c r="C350">
        <v>104.97</v>
      </c>
      <c r="D350">
        <v>0</v>
      </c>
      <c r="E350" t="s">
        <v>8</v>
      </c>
      <c r="F350">
        <v>2</v>
      </c>
      <c r="G350">
        <f>COUNTIF(E:E,E350)</f>
        <v>110</v>
      </c>
      <c r="H350">
        <f>COUNTIFS(E:E,E350,A:A,A350,D:D,D350)</f>
        <v>1</v>
      </c>
      <c r="I350" t="e">
        <f>SUMIF([1]Mapeamento!$J:$J,A350,[1]Mapeamento!$L:$L)</f>
        <v>#VALUE!</v>
      </c>
      <c r="J350" s="1" t="e">
        <f>SUMIF('[1]Map_Meso-Ox'!$C:$C,A350,'[1]Map_Meso-Ox'!$D:$D)</f>
        <v>#VALUE!</v>
      </c>
      <c r="K350" s="2" t="e">
        <f t="shared" si="10"/>
        <v>#VALUE!</v>
      </c>
      <c r="L350" s="1" t="e">
        <f>SUMIF('[1]Map_Meso-Ox'!$C:$C,A350,'[1]Map_Meso-Ox'!$E:$E)</f>
        <v>#VALUE!</v>
      </c>
      <c r="M350" s="2" t="e">
        <f t="shared" si="11"/>
        <v>#VALUE!</v>
      </c>
    </row>
    <row r="351" spans="1:13" x14ac:dyDescent="0.25">
      <c r="A351">
        <v>20</v>
      </c>
      <c r="B351">
        <v>-1</v>
      </c>
      <c r="C351">
        <v>86.403000000000006</v>
      </c>
      <c r="D351">
        <v>0</v>
      </c>
      <c r="E351" t="s">
        <v>8</v>
      </c>
      <c r="F351">
        <v>2</v>
      </c>
      <c r="G351">
        <f>COUNTIF(E:E,E351)</f>
        <v>110</v>
      </c>
      <c r="H351">
        <f>COUNTIFS(E:E,E351,A:A,A351,D:D,D351)</f>
        <v>1</v>
      </c>
      <c r="I351" t="e">
        <f>SUMIF([1]Mapeamento!$J:$J,A351,[1]Mapeamento!$L:$L)</f>
        <v>#VALUE!</v>
      </c>
      <c r="J351" s="1" t="e">
        <f>SUMIF('[1]Map_Meso-Ox'!$C:$C,A351,'[1]Map_Meso-Ox'!$D:$D)</f>
        <v>#VALUE!</v>
      </c>
      <c r="K351" s="2" t="e">
        <f t="shared" si="10"/>
        <v>#VALUE!</v>
      </c>
      <c r="L351" s="1" t="e">
        <f>SUMIF('[1]Map_Meso-Ox'!$C:$C,A351,'[1]Map_Meso-Ox'!$E:$E)</f>
        <v>#VALUE!</v>
      </c>
      <c r="M351" s="2" t="e">
        <f t="shared" si="11"/>
        <v>#VALUE!</v>
      </c>
    </row>
    <row r="352" spans="1:13" x14ac:dyDescent="0.25">
      <c r="A352">
        <v>21</v>
      </c>
      <c r="B352">
        <v>-1</v>
      </c>
      <c r="C352">
        <v>89.947999999999993</v>
      </c>
      <c r="D352">
        <v>0</v>
      </c>
      <c r="E352" t="s">
        <v>8</v>
      </c>
      <c r="F352">
        <v>2</v>
      </c>
      <c r="G352">
        <f>COUNTIF(E:E,E352)</f>
        <v>110</v>
      </c>
      <c r="H352">
        <f>COUNTIFS(E:E,E352,A:A,A352,D:D,D352)</f>
        <v>1</v>
      </c>
      <c r="I352" t="e">
        <f>SUMIF([1]Mapeamento!$J:$J,A352,[1]Mapeamento!$L:$L)</f>
        <v>#VALUE!</v>
      </c>
      <c r="J352" s="1" t="e">
        <f>SUMIF('[1]Map_Meso-Ox'!$C:$C,A352,'[1]Map_Meso-Ox'!$D:$D)</f>
        <v>#VALUE!</v>
      </c>
      <c r="K352" s="2" t="e">
        <f t="shared" si="10"/>
        <v>#VALUE!</v>
      </c>
      <c r="L352" s="1" t="e">
        <f>SUMIF('[1]Map_Meso-Ox'!$C:$C,A352,'[1]Map_Meso-Ox'!$E:$E)</f>
        <v>#VALUE!</v>
      </c>
      <c r="M352" s="2" t="e">
        <f t="shared" si="11"/>
        <v>#VALUE!</v>
      </c>
    </row>
    <row r="353" spans="1:13" x14ac:dyDescent="0.25">
      <c r="A353">
        <v>22</v>
      </c>
      <c r="B353">
        <v>-1</v>
      </c>
      <c r="C353">
        <v>71.757000000000005</v>
      </c>
      <c r="D353">
        <v>0</v>
      </c>
      <c r="E353" t="s">
        <v>8</v>
      </c>
      <c r="F353">
        <v>3</v>
      </c>
      <c r="G353">
        <f>COUNTIF(E:E,E353)</f>
        <v>110</v>
      </c>
      <c r="H353">
        <f>COUNTIFS(E:E,E353,A:A,A353,D:D,D353)</f>
        <v>1</v>
      </c>
      <c r="I353" t="e">
        <f>SUMIF([1]Mapeamento!$J:$J,A353,[1]Mapeamento!$L:$L)</f>
        <v>#VALUE!</v>
      </c>
      <c r="J353" s="1" t="e">
        <f>SUMIF('[1]Map_Meso-Ox'!$C:$C,A353,'[1]Map_Meso-Ox'!$D:$D)</f>
        <v>#VALUE!</v>
      </c>
      <c r="K353" s="2" t="e">
        <f t="shared" si="10"/>
        <v>#VALUE!</v>
      </c>
      <c r="L353" s="1" t="e">
        <f>SUMIF('[1]Map_Meso-Ox'!$C:$C,A353,'[1]Map_Meso-Ox'!$E:$E)</f>
        <v>#VALUE!</v>
      </c>
      <c r="M353" s="2" t="e">
        <f t="shared" si="11"/>
        <v>#VALUE!</v>
      </c>
    </row>
    <row r="354" spans="1:13" x14ac:dyDescent="0.25">
      <c r="A354">
        <v>23</v>
      </c>
      <c r="B354">
        <v>-1</v>
      </c>
      <c r="C354">
        <v>70.046999999999997</v>
      </c>
      <c r="D354">
        <v>0</v>
      </c>
      <c r="E354" t="s">
        <v>8</v>
      </c>
      <c r="F354">
        <v>1</v>
      </c>
      <c r="G354">
        <f>COUNTIF(E:E,E354)</f>
        <v>110</v>
      </c>
      <c r="H354">
        <f>COUNTIFS(E:E,E354,A:A,A354,D:D,D354)</f>
        <v>1</v>
      </c>
      <c r="I354" t="e">
        <f>SUMIF([1]Mapeamento!$J:$J,A354,[1]Mapeamento!$L:$L)</f>
        <v>#VALUE!</v>
      </c>
      <c r="J354" s="1" t="e">
        <f>SUMIF('[1]Map_Meso-Ox'!$C:$C,A354,'[1]Map_Meso-Ox'!$D:$D)</f>
        <v>#VALUE!</v>
      </c>
      <c r="K354" s="2" t="e">
        <f t="shared" si="10"/>
        <v>#VALUE!</v>
      </c>
      <c r="L354" s="1" t="e">
        <f>SUMIF('[1]Map_Meso-Ox'!$C:$C,A354,'[1]Map_Meso-Ox'!$E:$E)</f>
        <v>#VALUE!</v>
      </c>
      <c r="M354" s="2" t="e">
        <f t="shared" si="11"/>
        <v>#VALUE!</v>
      </c>
    </row>
    <row r="355" spans="1:13" x14ac:dyDescent="0.25">
      <c r="A355">
        <v>24</v>
      </c>
      <c r="B355">
        <v>-1</v>
      </c>
      <c r="C355">
        <v>73.024000000000001</v>
      </c>
      <c r="D355">
        <v>0</v>
      </c>
      <c r="E355" t="s">
        <v>8</v>
      </c>
      <c r="F355">
        <v>1</v>
      </c>
      <c r="G355">
        <f>COUNTIF(E:E,E355)</f>
        <v>110</v>
      </c>
      <c r="H355">
        <f>COUNTIFS(E:E,E355,A:A,A355,D:D,D355)</f>
        <v>1</v>
      </c>
      <c r="I355" t="e">
        <f>SUMIF([1]Mapeamento!$J:$J,A355,[1]Mapeamento!$L:$L)</f>
        <v>#VALUE!</v>
      </c>
      <c r="J355" s="1" t="e">
        <f>SUMIF('[1]Map_Meso-Ox'!$C:$C,A355,'[1]Map_Meso-Ox'!$D:$D)</f>
        <v>#VALUE!</v>
      </c>
      <c r="K355" s="2" t="e">
        <f t="shared" si="10"/>
        <v>#VALUE!</v>
      </c>
      <c r="L355" s="1" t="e">
        <f>SUMIF('[1]Map_Meso-Ox'!$C:$C,A355,'[1]Map_Meso-Ox'!$E:$E)</f>
        <v>#VALUE!</v>
      </c>
      <c r="M355" s="2" t="e">
        <f t="shared" si="11"/>
        <v>#VALUE!</v>
      </c>
    </row>
    <row r="356" spans="1:13" x14ac:dyDescent="0.25">
      <c r="A356">
        <v>25</v>
      </c>
      <c r="B356">
        <v>-1</v>
      </c>
      <c r="C356">
        <v>53.908999999999999</v>
      </c>
      <c r="D356">
        <v>2.5100000000000001E-2</v>
      </c>
      <c r="E356" t="s">
        <v>8</v>
      </c>
      <c r="F356">
        <v>1</v>
      </c>
      <c r="G356">
        <f>COUNTIF(E:E,E356)</f>
        <v>110</v>
      </c>
      <c r="H356">
        <f>COUNTIFS(E:E,E356,A:A,A356,D:D,D356)</f>
        <v>1</v>
      </c>
      <c r="I356" t="e">
        <f>SUMIF([1]Mapeamento!$J:$J,A356,[1]Mapeamento!$L:$L)</f>
        <v>#VALUE!</v>
      </c>
      <c r="J356" s="1" t="e">
        <f>SUMIF('[1]Map_Meso-Ox'!$C:$C,A356,'[1]Map_Meso-Ox'!$D:$D)</f>
        <v>#VALUE!</v>
      </c>
      <c r="K356" s="2" t="e">
        <f t="shared" si="10"/>
        <v>#VALUE!</v>
      </c>
      <c r="L356" s="1" t="e">
        <f>SUMIF('[1]Map_Meso-Ox'!$C:$C,A356,'[1]Map_Meso-Ox'!$E:$E)</f>
        <v>#VALUE!</v>
      </c>
      <c r="M356" s="2" t="e">
        <f t="shared" si="11"/>
        <v>#VALUE!</v>
      </c>
    </row>
    <row r="357" spans="1:13" x14ac:dyDescent="0.25">
      <c r="A357">
        <v>26</v>
      </c>
      <c r="B357">
        <v>-1</v>
      </c>
      <c r="C357">
        <v>85.11</v>
      </c>
      <c r="D357">
        <v>0</v>
      </c>
      <c r="E357" t="s">
        <v>8</v>
      </c>
      <c r="F357">
        <v>2</v>
      </c>
      <c r="G357">
        <f>COUNTIF(E:E,E357)</f>
        <v>110</v>
      </c>
      <c r="H357">
        <f>COUNTIFS(E:E,E357,A:A,A357,D:D,D357)</f>
        <v>1</v>
      </c>
      <c r="I357" t="e">
        <f>SUMIF([1]Mapeamento!$J:$J,A357,[1]Mapeamento!$L:$L)</f>
        <v>#VALUE!</v>
      </c>
      <c r="J357" s="1" t="e">
        <f>SUMIF('[1]Map_Meso-Ox'!$C:$C,A357,'[1]Map_Meso-Ox'!$D:$D)</f>
        <v>#VALUE!</v>
      </c>
      <c r="K357" s="2" t="e">
        <f t="shared" si="10"/>
        <v>#VALUE!</v>
      </c>
      <c r="L357" s="1" t="e">
        <f>SUMIF('[1]Map_Meso-Ox'!$C:$C,A357,'[1]Map_Meso-Ox'!$E:$E)</f>
        <v>#VALUE!</v>
      </c>
      <c r="M357" s="2" t="e">
        <f t="shared" si="11"/>
        <v>#VALUE!</v>
      </c>
    </row>
    <row r="358" spans="1:13" x14ac:dyDescent="0.25">
      <c r="A358">
        <v>27</v>
      </c>
      <c r="B358">
        <v>-1</v>
      </c>
      <c r="C358">
        <v>44.372999999999998</v>
      </c>
      <c r="D358">
        <v>0.1759</v>
      </c>
      <c r="E358" t="s">
        <v>8</v>
      </c>
      <c r="F358">
        <v>0</v>
      </c>
      <c r="G358">
        <f>COUNTIF(E:E,E358)</f>
        <v>110</v>
      </c>
      <c r="H358">
        <f>COUNTIFS(E:E,E358,A:A,A358,D:D,D358)</f>
        <v>1</v>
      </c>
      <c r="I358" t="e">
        <f>SUMIF([1]Mapeamento!$J:$J,A358,[1]Mapeamento!$L:$L)</f>
        <v>#VALUE!</v>
      </c>
      <c r="J358" s="1" t="e">
        <f>SUMIF('[1]Map_Meso-Ox'!$C:$C,A358,'[1]Map_Meso-Ox'!$D:$D)</f>
        <v>#VALUE!</v>
      </c>
      <c r="K358" s="2" t="e">
        <f t="shared" si="10"/>
        <v>#VALUE!</v>
      </c>
      <c r="L358" s="1" t="e">
        <f>SUMIF('[1]Map_Meso-Ox'!$C:$C,A358,'[1]Map_Meso-Ox'!$E:$E)</f>
        <v>#VALUE!</v>
      </c>
      <c r="M358" s="2" t="e">
        <f t="shared" si="11"/>
        <v>#VALUE!</v>
      </c>
    </row>
    <row r="359" spans="1:13" x14ac:dyDescent="0.25">
      <c r="A359">
        <v>28</v>
      </c>
      <c r="B359">
        <v>-1</v>
      </c>
      <c r="C359">
        <v>81.623000000000005</v>
      </c>
      <c r="D359">
        <v>0</v>
      </c>
      <c r="E359" t="s">
        <v>8</v>
      </c>
      <c r="F359">
        <v>2</v>
      </c>
      <c r="G359">
        <f>COUNTIF(E:E,E359)</f>
        <v>110</v>
      </c>
      <c r="H359">
        <f>COUNTIFS(E:E,E359,A:A,A359,D:D,D359)</f>
        <v>1</v>
      </c>
      <c r="I359" t="e">
        <f>SUMIF([1]Mapeamento!$J:$J,A359,[1]Mapeamento!$L:$L)</f>
        <v>#VALUE!</v>
      </c>
      <c r="J359" s="1" t="e">
        <f>SUMIF('[1]Map_Meso-Ox'!$C:$C,A359,'[1]Map_Meso-Ox'!$D:$D)</f>
        <v>#VALUE!</v>
      </c>
      <c r="K359" s="2" t="e">
        <f t="shared" si="10"/>
        <v>#VALUE!</v>
      </c>
      <c r="L359" s="1" t="e">
        <f>SUMIF('[1]Map_Meso-Ox'!$C:$C,A359,'[1]Map_Meso-Ox'!$E:$E)</f>
        <v>#VALUE!</v>
      </c>
      <c r="M359" s="2" t="e">
        <f t="shared" si="11"/>
        <v>#VALUE!</v>
      </c>
    </row>
    <row r="360" spans="1:13" x14ac:dyDescent="0.25">
      <c r="A360">
        <v>29</v>
      </c>
      <c r="B360">
        <v>-1</v>
      </c>
      <c r="C360">
        <v>78.474999999999994</v>
      </c>
      <c r="D360">
        <v>5.0000000000000001E-3</v>
      </c>
      <c r="E360" t="s">
        <v>8</v>
      </c>
      <c r="F360">
        <v>1</v>
      </c>
      <c r="G360">
        <f>COUNTIF(E:E,E360)</f>
        <v>110</v>
      </c>
      <c r="H360">
        <f>COUNTIFS(E:E,E360,A:A,A360,D:D,D360)</f>
        <v>1</v>
      </c>
      <c r="I360" t="e">
        <f>SUMIF([1]Mapeamento!$J:$J,A360,[1]Mapeamento!$L:$L)</f>
        <v>#VALUE!</v>
      </c>
      <c r="J360" s="1" t="e">
        <f>SUMIF('[1]Map_Meso-Ox'!$C:$C,A360,'[1]Map_Meso-Ox'!$D:$D)</f>
        <v>#VALUE!</v>
      </c>
      <c r="K360" s="2" t="e">
        <f t="shared" si="10"/>
        <v>#VALUE!</v>
      </c>
      <c r="L360" s="1" t="e">
        <f>SUMIF('[1]Map_Meso-Ox'!$C:$C,A360,'[1]Map_Meso-Ox'!$E:$E)</f>
        <v>#VALUE!</v>
      </c>
      <c r="M360" s="2" t="e">
        <f t="shared" si="11"/>
        <v>#VALUE!</v>
      </c>
    </row>
    <row r="361" spans="1:13" x14ac:dyDescent="0.25">
      <c r="A361">
        <v>30</v>
      </c>
      <c r="B361">
        <v>-1</v>
      </c>
      <c r="C361">
        <v>64.873000000000005</v>
      </c>
      <c r="D361">
        <v>0</v>
      </c>
      <c r="E361" t="s">
        <v>8</v>
      </c>
      <c r="F361">
        <v>1</v>
      </c>
      <c r="G361">
        <f>COUNTIF(E:E,E361)</f>
        <v>110</v>
      </c>
      <c r="H361">
        <f>COUNTIFS(E:E,E361,A:A,A361,D:D,D361)</f>
        <v>1</v>
      </c>
      <c r="I361" t="e">
        <f>SUMIF([1]Mapeamento!$J:$J,A361,[1]Mapeamento!$L:$L)</f>
        <v>#VALUE!</v>
      </c>
      <c r="J361" s="1" t="e">
        <f>SUMIF('[1]Map_Meso-Ox'!$C:$C,A361,'[1]Map_Meso-Ox'!$D:$D)</f>
        <v>#VALUE!</v>
      </c>
      <c r="K361" s="2" t="e">
        <f t="shared" si="10"/>
        <v>#VALUE!</v>
      </c>
      <c r="L361" s="1" t="e">
        <f>SUMIF('[1]Map_Meso-Ox'!$C:$C,A361,'[1]Map_Meso-Ox'!$E:$E)</f>
        <v>#VALUE!</v>
      </c>
      <c r="M361" s="2" t="e">
        <f t="shared" si="11"/>
        <v>#VALUE!</v>
      </c>
    </row>
    <row r="362" spans="1:13" x14ac:dyDescent="0.25">
      <c r="A362">
        <v>31</v>
      </c>
      <c r="B362">
        <v>-1</v>
      </c>
      <c r="C362">
        <v>93.400999999999996</v>
      </c>
      <c r="D362">
        <v>0</v>
      </c>
      <c r="E362" t="s">
        <v>8</v>
      </c>
      <c r="F362">
        <v>1</v>
      </c>
      <c r="G362">
        <f>COUNTIF(E:E,E362)</f>
        <v>110</v>
      </c>
      <c r="H362">
        <f>COUNTIFS(E:E,E362,A:A,A362,D:D,D362)</f>
        <v>1</v>
      </c>
      <c r="I362" t="e">
        <f>SUMIF([1]Mapeamento!$J:$J,A362,[1]Mapeamento!$L:$L)</f>
        <v>#VALUE!</v>
      </c>
      <c r="J362" s="1" t="e">
        <f>SUMIF('[1]Map_Meso-Ox'!$C:$C,A362,'[1]Map_Meso-Ox'!$D:$D)</f>
        <v>#VALUE!</v>
      </c>
      <c r="K362" s="2" t="e">
        <f t="shared" si="10"/>
        <v>#VALUE!</v>
      </c>
      <c r="L362" s="1" t="e">
        <f>SUMIF('[1]Map_Meso-Ox'!$C:$C,A362,'[1]Map_Meso-Ox'!$E:$E)</f>
        <v>#VALUE!</v>
      </c>
      <c r="M362" s="2" t="e">
        <f t="shared" si="11"/>
        <v>#VALUE!</v>
      </c>
    </row>
    <row r="363" spans="1:13" x14ac:dyDescent="0.25">
      <c r="A363">
        <v>32</v>
      </c>
      <c r="B363">
        <v>-1</v>
      </c>
      <c r="C363">
        <v>66.516000000000005</v>
      </c>
      <c r="D363">
        <v>0</v>
      </c>
      <c r="E363" t="s">
        <v>8</v>
      </c>
      <c r="F363">
        <v>1</v>
      </c>
      <c r="G363">
        <f>COUNTIF(E:E,E363)</f>
        <v>110</v>
      </c>
      <c r="H363">
        <f>COUNTIFS(E:E,E363,A:A,A363,D:D,D363)</f>
        <v>1</v>
      </c>
      <c r="I363" t="e">
        <f>SUMIF([1]Mapeamento!$J:$J,A363,[1]Mapeamento!$L:$L)</f>
        <v>#VALUE!</v>
      </c>
      <c r="J363" s="1" t="e">
        <f>SUMIF('[1]Map_Meso-Ox'!$C:$C,A363,'[1]Map_Meso-Ox'!$D:$D)</f>
        <v>#VALUE!</v>
      </c>
      <c r="K363" s="2" t="e">
        <f t="shared" si="10"/>
        <v>#VALUE!</v>
      </c>
      <c r="L363" s="1" t="e">
        <f>SUMIF('[1]Map_Meso-Ox'!$C:$C,A363,'[1]Map_Meso-Ox'!$E:$E)</f>
        <v>#VALUE!</v>
      </c>
      <c r="M363" s="2" t="e">
        <f t="shared" si="11"/>
        <v>#VALUE!</v>
      </c>
    </row>
    <row r="364" spans="1:13" x14ac:dyDescent="0.25">
      <c r="A364">
        <v>33</v>
      </c>
      <c r="B364">
        <v>-1</v>
      </c>
      <c r="C364">
        <v>54.329000000000001</v>
      </c>
      <c r="D364">
        <v>2.5100000000000001E-2</v>
      </c>
      <c r="E364" t="s">
        <v>8</v>
      </c>
      <c r="F364">
        <v>0</v>
      </c>
      <c r="G364">
        <f>COUNTIF(E:E,E364)</f>
        <v>110</v>
      </c>
      <c r="H364">
        <f>COUNTIFS(E:E,E364,A:A,A364,D:D,D364)</f>
        <v>1</v>
      </c>
      <c r="I364" t="e">
        <f>SUMIF([1]Mapeamento!$J:$J,A364,[1]Mapeamento!$L:$L)</f>
        <v>#VALUE!</v>
      </c>
      <c r="J364" s="1" t="e">
        <f>SUMIF('[1]Map_Meso-Ox'!$C:$C,A364,'[1]Map_Meso-Ox'!$D:$D)</f>
        <v>#VALUE!</v>
      </c>
      <c r="K364" s="2" t="e">
        <f t="shared" si="10"/>
        <v>#VALUE!</v>
      </c>
      <c r="L364" s="1" t="e">
        <f>SUMIF('[1]Map_Meso-Ox'!$C:$C,A364,'[1]Map_Meso-Ox'!$E:$E)</f>
        <v>#VALUE!</v>
      </c>
      <c r="M364" s="2" t="e">
        <f t="shared" si="11"/>
        <v>#VALUE!</v>
      </c>
    </row>
    <row r="365" spans="1:13" x14ac:dyDescent="0.25">
      <c r="A365">
        <v>34</v>
      </c>
      <c r="B365">
        <v>-1</v>
      </c>
      <c r="C365">
        <v>74.510000000000005</v>
      </c>
      <c r="D365">
        <v>0</v>
      </c>
      <c r="E365" t="s">
        <v>8</v>
      </c>
      <c r="F365">
        <v>2</v>
      </c>
      <c r="G365">
        <f>COUNTIF(E:E,E365)</f>
        <v>110</v>
      </c>
      <c r="H365">
        <f>COUNTIFS(E:E,E365,A:A,A365,D:D,D365)</f>
        <v>1</v>
      </c>
      <c r="I365" t="e">
        <f>SUMIF([1]Mapeamento!$J:$J,A365,[1]Mapeamento!$L:$L)</f>
        <v>#VALUE!</v>
      </c>
      <c r="J365" s="1" t="e">
        <f>SUMIF('[1]Map_Meso-Ox'!$C:$C,A365,'[1]Map_Meso-Ox'!$D:$D)</f>
        <v>#VALUE!</v>
      </c>
      <c r="K365" s="2" t="e">
        <f t="shared" si="10"/>
        <v>#VALUE!</v>
      </c>
      <c r="L365" s="1" t="e">
        <f>SUMIF('[1]Map_Meso-Ox'!$C:$C,A365,'[1]Map_Meso-Ox'!$E:$E)</f>
        <v>#VALUE!</v>
      </c>
      <c r="M365" s="2" t="e">
        <f t="shared" si="11"/>
        <v>#VALUE!</v>
      </c>
    </row>
    <row r="366" spans="1:13" x14ac:dyDescent="0.25">
      <c r="A366">
        <v>35</v>
      </c>
      <c r="B366">
        <v>-1</v>
      </c>
      <c r="C366">
        <v>55.201000000000001</v>
      </c>
      <c r="D366">
        <v>1.01E-2</v>
      </c>
      <c r="E366" t="s">
        <v>8</v>
      </c>
      <c r="F366">
        <v>0</v>
      </c>
      <c r="G366">
        <f>COUNTIF(E:E,E366)</f>
        <v>110</v>
      </c>
      <c r="H366">
        <f>COUNTIFS(E:E,E366,A:A,A366,D:D,D366)</f>
        <v>1</v>
      </c>
      <c r="I366" t="e">
        <f>SUMIF([1]Mapeamento!$J:$J,A366,[1]Mapeamento!$L:$L)</f>
        <v>#VALUE!</v>
      </c>
      <c r="J366" s="1" t="e">
        <f>SUMIF('[1]Map_Meso-Ox'!$C:$C,A366,'[1]Map_Meso-Ox'!$D:$D)</f>
        <v>#VALUE!</v>
      </c>
      <c r="K366" s="2" t="e">
        <f t="shared" si="10"/>
        <v>#VALUE!</v>
      </c>
      <c r="L366" s="1" t="e">
        <f>SUMIF('[1]Map_Meso-Ox'!$C:$C,A366,'[1]Map_Meso-Ox'!$E:$E)</f>
        <v>#VALUE!</v>
      </c>
      <c r="M366" s="2" t="e">
        <f t="shared" si="11"/>
        <v>#VALUE!</v>
      </c>
    </row>
    <row r="367" spans="1:13" x14ac:dyDescent="0.25">
      <c r="A367">
        <v>36</v>
      </c>
      <c r="B367">
        <v>-1</v>
      </c>
      <c r="C367">
        <v>80.986000000000004</v>
      </c>
      <c r="D367">
        <v>5.0000000000000001E-3</v>
      </c>
      <c r="E367" t="s">
        <v>8</v>
      </c>
      <c r="F367">
        <v>2</v>
      </c>
      <c r="G367">
        <f>COUNTIF(E:E,E367)</f>
        <v>110</v>
      </c>
      <c r="H367">
        <f>COUNTIFS(E:E,E367,A:A,A367,D:D,D367)</f>
        <v>1</v>
      </c>
      <c r="I367" t="e">
        <f>SUMIF([1]Mapeamento!$J:$J,A367,[1]Mapeamento!$L:$L)</f>
        <v>#VALUE!</v>
      </c>
      <c r="J367" s="1" t="e">
        <f>SUMIF('[1]Map_Meso-Ox'!$C:$C,A367,'[1]Map_Meso-Ox'!$D:$D)</f>
        <v>#VALUE!</v>
      </c>
      <c r="K367" s="2" t="e">
        <f t="shared" si="10"/>
        <v>#VALUE!</v>
      </c>
      <c r="L367" s="1" t="e">
        <f>SUMIF('[1]Map_Meso-Ox'!$C:$C,A367,'[1]Map_Meso-Ox'!$E:$E)</f>
        <v>#VALUE!</v>
      </c>
      <c r="M367" s="2" t="e">
        <f t="shared" si="11"/>
        <v>#VALUE!</v>
      </c>
    </row>
    <row r="368" spans="1:13" x14ac:dyDescent="0.25">
      <c r="A368">
        <v>37</v>
      </c>
      <c r="B368">
        <v>-1</v>
      </c>
      <c r="C368">
        <v>67.822999999999993</v>
      </c>
      <c r="D368">
        <v>0</v>
      </c>
      <c r="E368" t="s">
        <v>8</v>
      </c>
      <c r="F368">
        <v>1</v>
      </c>
      <c r="G368">
        <f>COUNTIF(E:E,E368)</f>
        <v>110</v>
      </c>
      <c r="H368">
        <f>COUNTIFS(E:E,E368,A:A,A368,D:D,D368)</f>
        <v>1</v>
      </c>
      <c r="I368" t="e">
        <f>SUMIF([1]Mapeamento!$J:$J,A368,[1]Mapeamento!$L:$L)</f>
        <v>#VALUE!</v>
      </c>
      <c r="J368" s="1" t="e">
        <f>SUMIF('[1]Map_Meso-Ox'!$C:$C,A368,'[1]Map_Meso-Ox'!$D:$D)</f>
        <v>#VALUE!</v>
      </c>
      <c r="K368" s="2" t="e">
        <f t="shared" si="10"/>
        <v>#VALUE!</v>
      </c>
      <c r="L368" s="1" t="e">
        <f>SUMIF('[1]Map_Meso-Ox'!$C:$C,A368,'[1]Map_Meso-Ox'!$E:$E)</f>
        <v>#VALUE!</v>
      </c>
      <c r="M368" s="2" t="e">
        <f t="shared" si="11"/>
        <v>#VALUE!</v>
      </c>
    </row>
    <row r="369" spans="1:13" x14ac:dyDescent="0.25">
      <c r="A369">
        <v>38</v>
      </c>
      <c r="B369">
        <v>-1</v>
      </c>
      <c r="C369">
        <v>44.082000000000001</v>
      </c>
      <c r="D369">
        <v>8.0399999999999999E-2</v>
      </c>
      <c r="E369" t="s">
        <v>8</v>
      </c>
      <c r="F369">
        <v>0</v>
      </c>
      <c r="G369">
        <f>COUNTIF(E:E,E369)</f>
        <v>110</v>
      </c>
      <c r="H369">
        <f>COUNTIFS(E:E,E369,A:A,A369,D:D,D369)</f>
        <v>1</v>
      </c>
      <c r="I369" t="e">
        <f>SUMIF([1]Mapeamento!$J:$J,A369,[1]Mapeamento!$L:$L)</f>
        <v>#VALUE!</v>
      </c>
      <c r="J369" s="1" t="e">
        <f>SUMIF('[1]Map_Meso-Ox'!$C:$C,A369,'[1]Map_Meso-Ox'!$D:$D)</f>
        <v>#VALUE!</v>
      </c>
      <c r="K369" s="2" t="e">
        <f t="shared" si="10"/>
        <v>#VALUE!</v>
      </c>
      <c r="L369" s="1" t="e">
        <f>SUMIF('[1]Map_Meso-Ox'!$C:$C,A369,'[1]Map_Meso-Ox'!$E:$E)</f>
        <v>#VALUE!</v>
      </c>
      <c r="M369" s="2" t="e">
        <f t="shared" si="11"/>
        <v>#VALUE!</v>
      </c>
    </row>
    <row r="370" spans="1:13" x14ac:dyDescent="0.25">
      <c r="A370">
        <v>39</v>
      </c>
      <c r="B370">
        <v>-1</v>
      </c>
      <c r="C370">
        <v>76.516999999999996</v>
      </c>
      <c r="D370">
        <v>0</v>
      </c>
      <c r="E370" t="s">
        <v>8</v>
      </c>
      <c r="F370">
        <v>1</v>
      </c>
      <c r="G370">
        <f>COUNTIF(E:E,E370)</f>
        <v>110</v>
      </c>
      <c r="H370">
        <f>COUNTIFS(E:E,E370,A:A,A370,D:D,D370)</f>
        <v>1</v>
      </c>
      <c r="I370" t="e">
        <f>SUMIF([1]Mapeamento!$J:$J,A370,[1]Mapeamento!$L:$L)</f>
        <v>#VALUE!</v>
      </c>
      <c r="J370" s="1" t="e">
        <f>SUMIF('[1]Map_Meso-Ox'!$C:$C,A370,'[1]Map_Meso-Ox'!$D:$D)</f>
        <v>#VALUE!</v>
      </c>
      <c r="K370" s="2" t="e">
        <f t="shared" si="10"/>
        <v>#VALUE!</v>
      </c>
      <c r="L370" s="1" t="e">
        <f>SUMIF('[1]Map_Meso-Ox'!$C:$C,A370,'[1]Map_Meso-Ox'!$E:$E)</f>
        <v>#VALUE!</v>
      </c>
      <c r="M370" s="2" t="e">
        <f t="shared" si="11"/>
        <v>#VALUE!</v>
      </c>
    </row>
    <row r="371" spans="1:13" x14ac:dyDescent="0.25">
      <c r="A371">
        <v>40</v>
      </c>
      <c r="B371">
        <v>-1</v>
      </c>
      <c r="C371">
        <v>57.396000000000001</v>
      </c>
      <c r="D371">
        <v>1.5100000000000001E-2</v>
      </c>
      <c r="E371" t="s">
        <v>8</v>
      </c>
      <c r="F371">
        <v>1</v>
      </c>
      <c r="G371">
        <f>COUNTIF(E:E,E371)</f>
        <v>110</v>
      </c>
      <c r="H371">
        <f>COUNTIFS(E:E,E371,A:A,A371,D:D,D371)</f>
        <v>1</v>
      </c>
      <c r="I371" t="e">
        <f>SUMIF([1]Mapeamento!$J:$J,A371,[1]Mapeamento!$L:$L)</f>
        <v>#VALUE!</v>
      </c>
      <c r="J371" s="1" t="e">
        <f>SUMIF('[1]Map_Meso-Ox'!$C:$C,A371,'[1]Map_Meso-Ox'!$D:$D)</f>
        <v>#VALUE!</v>
      </c>
      <c r="K371" s="2" t="e">
        <f t="shared" si="10"/>
        <v>#VALUE!</v>
      </c>
      <c r="L371" s="1" t="e">
        <f>SUMIF('[1]Map_Meso-Ox'!$C:$C,A371,'[1]Map_Meso-Ox'!$E:$E)</f>
        <v>#VALUE!</v>
      </c>
      <c r="M371" s="2" t="e">
        <f t="shared" si="11"/>
        <v>#VALUE!</v>
      </c>
    </row>
    <row r="372" spans="1:13" x14ac:dyDescent="0.25">
      <c r="A372">
        <v>41</v>
      </c>
      <c r="B372">
        <v>-1</v>
      </c>
      <c r="C372">
        <v>65.463999999999999</v>
      </c>
      <c r="D372">
        <v>0</v>
      </c>
      <c r="E372" t="s">
        <v>8</v>
      </c>
      <c r="F372">
        <v>1</v>
      </c>
      <c r="G372">
        <f>COUNTIF(E:E,E372)</f>
        <v>110</v>
      </c>
      <c r="H372">
        <f>COUNTIFS(E:E,E372,A:A,A372,D:D,D372)</f>
        <v>1</v>
      </c>
      <c r="I372" t="e">
        <f>SUMIF([1]Mapeamento!$J:$J,A372,[1]Mapeamento!$L:$L)</f>
        <v>#VALUE!</v>
      </c>
      <c r="J372" s="1" t="e">
        <f>SUMIF('[1]Map_Meso-Ox'!$C:$C,A372,'[1]Map_Meso-Ox'!$D:$D)</f>
        <v>#VALUE!</v>
      </c>
      <c r="K372" s="2" t="e">
        <f t="shared" si="10"/>
        <v>#VALUE!</v>
      </c>
      <c r="L372" s="1" t="e">
        <f>SUMIF('[1]Map_Meso-Ox'!$C:$C,A372,'[1]Map_Meso-Ox'!$E:$E)</f>
        <v>#VALUE!</v>
      </c>
      <c r="M372" s="2" t="e">
        <f t="shared" si="11"/>
        <v>#VALUE!</v>
      </c>
    </row>
    <row r="373" spans="1:13" x14ac:dyDescent="0.25">
      <c r="A373">
        <v>42</v>
      </c>
      <c r="B373">
        <v>-1</v>
      </c>
      <c r="C373">
        <v>62.255000000000003</v>
      </c>
      <c r="D373">
        <v>5.0000000000000001E-3</v>
      </c>
      <c r="E373" t="s">
        <v>8</v>
      </c>
      <c r="F373">
        <v>0</v>
      </c>
      <c r="G373">
        <f>COUNTIF(E:E,E373)</f>
        <v>110</v>
      </c>
      <c r="H373">
        <f>COUNTIFS(E:E,E373,A:A,A373,D:D,D373)</f>
        <v>1</v>
      </c>
      <c r="I373" t="e">
        <f>SUMIF([1]Mapeamento!$J:$J,A373,[1]Mapeamento!$L:$L)</f>
        <v>#VALUE!</v>
      </c>
      <c r="J373" s="1" t="e">
        <f>SUMIF('[1]Map_Meso-Ox'!$C:$C,A373,'[1]Map_Meso-Ox'!$D:$D)</f>
        <v>#VALUE!</v>
      </c>
      <c r="K373" s="2" t="e">
        <f t="shared" si="10"/>
        <v>#VALUE!</v>
      </c>
      <c r="L373" s="1" t="e">
        <f>SUMIF('[1]Map_Meso-Ox'!$C:$C,A373,'[1]Map_Meso-Ox'!$E:$E)</f>
        <v>#VALUE!</v>
      </c>
      <c r="M373" s="2" t="e">
        <f t="shared" si="11"/>
        <v>#VALUE!</v>
      </c>
    </row>
    <row r="374" spans="1:13" x14ac:dyDescent="0.25">
      <c r="A374">
        <v>43</v>
      </c>
      <c r="B374">
        <v>-1</v>
      </c>
      <c r="C374">
        <v>38.130000000000003</v>
      </c>
      <c r="D374">
        <v>0.21609999999999999</v>
      </c>
      <c r="E374" t="s">
        <v>8</v>
      </c>
      <c r="F374">
        <v>0</v>
      </c>
      <c r="G374">
        <f>COUNTIF(E:E,E374)</f>
        <v>110</v>
      </c>
      <c r="H374">
        <f>COUNTIFS(E:E,E374,A:A,A374,D:D,D374)</f>
        <v>1</v>
      </c>
      <c r="I374" t="e">
        <f>SUMIF([1]Mapeamento!$J:$J,A374,[1]Mapeamento!$L:$L)</f>
        <v>#VALUE!</v>
      </c>
      <c r="J374" s="1" t="e">
        <f>SUMIF('[1]Map_Meso-Ox'!$C:$C,A374,'[1]Map_Meso-Ox'!$D:$D)</f>
        <v>#VALUE!</v>
      </c>
      <c r="K374" s="2" t="e">
        <f t="shared" si="10"/>
        <v>#VALUE!</v>
      </c>
      <c r="L374" s="1" t="e">
        <f>SUMIF('[1]Map_Meso-Ox'!$C:$C,A374,'[1]Map_Meso-Ox'!$E:$E)</f>
        <v>#VALUE!</v>
      </c>
      <c r="M374" s="2" t="e">
        <f t="shared" si="11"/>
        <v>#VALUE!</v>
      </c>
    </row>
    <row r="375" spans="1:13" x14ac:dyDescent="0.25">
      <c r="A375">
        <v>44</v>
      </c>
      <c r="B375">
        <v>-1</v>
      </c>
      <c r="C375">
        <v>43.65</v>
      </c>
      <c r="D375">
        <v>9.0499999999999997E-2</v>
      </c>
      <c r="E375" t="s">
        <v>8</v>
      </c>
      <c r="F375">
        <v>0</v>
      </c>
      <c r="G375">
        <f>COUNTIF(E:E,E375)</f>
        <v>110</v>
      </c>
      <c r="H375">
        <f>COUNTIFS(E:E,E375,A:A,A375,D:D,D375)</f>
        <v>1</v>
      </c>
      <c r="I375" t="e">
        <f>SUMIF([1]Mapeamento!$J:$J,A375,[1]Mapeamento!$L:$L)</f>
        <v>#VALUE!</v>
      </c>
      <c r="J375" s="1" t="e">
        <f>SUMIF('[1]Map_Meso-Ox'!$C:$C,A375,'[1]Map_Meso-Ox'!$D:$D)</f>
        <v>#VALUE!</v>
      </c>
      <c r="K375" s="2" t="e">
        <f t="shared" si="10"/>
        <v>#VALUE!</v>
      </c>
      <c r="L375" s="1" t="e">
        <f>SUMIF('[1]Map_Meso-Ox'!$C:$C,A375,'[1]Map_Meso-Ox'!$E:$E)</f>
        <v>#VALUE!</v>
      </c>
      <c r="M375" s="2" t="e">
        <f t="shared" si="11"/>
        <v>#VALUE!</v>
      </c>
    </row>
    <row r="376" spans="1:13" x14ac:dyDescent="0.25">
      <c r="A376">
        <v>45</v>
      </c>
      <c r="B376">
        <v>-1</v>
      </c>
      <c r="C376">
        <v>65.986999999999995</v>
      </c>
      <c r="D376">
        <v>0</v>
      </c>
      <c r="E376" t="s">
        <v>8</v>
      </c>
      <c r="F376">
        <v>2</v>
      </c>
      <c r="G376">
        <f>COUNTIF(E:E,E376)</f>
        <v>110</v>
      </c>
      <c r="H376">
        <f>COUNTIFS(E:E,E376,A:A,A376,D:D,D376)</f>
        <v>1</v>
      </c>
      <c r="I376" t="e">
        <f>SUMIF([1]Mapeamento!$J:$J,A376,[1]Mapeamento!$L:$L)</f>
        <v>#VALUE!</v>
      </c>
      <c r="J376" s="1" t="e">
        <f>SUMIF('[1]Map_Meso-Ox'!$C:$C,A376,'[1]Map_Meso-Ox'!$D:$D)</f>
        <v>#VALUE!</v>
      </c>
      <c r="K376" s="2" t="e">
        <f t="shared" si="10"/>
        <v>#VALUE!</v>
      </c>
      <c r="L376" s="1" t="e">
        <f>SUMIF('[1]Map_Meso-Ox'!$C:$C,A376,'[1]Map_Meso-Ox'!$E:$E)</f>
        <v>#VALUE!</v>
      </c>
      <c r="M376" s="2" t="e">
        <f t="shared" si="11"/>
        <v>#VALUE!</v>
      </c>
    </row>
    <row r="377" spans="1:13" x14ac:dyDescent="0.25">
      <c r="A377">
        <v>46</v>
      </c>
      <c r="B377">
        <v>-1</v>
      </c>
      <c r="C377">
        <v>55.703000000000003</v>
      </c>
      <c r="D377">
        <v>2.5100000000000001E-2</v>
      </c>
      <c r="E377" t="s">
        <v>8</v>
      </c>
      <c r="F377">
        <v>0</v>
      </c>
      <c r="G377">
        <f>COUNTIF(E:E,E377)</f>
        <v>110</v>
      </c>
      <c r="H377">
        <f>COUNTIFS(E:E,E377,A:A,A377,D:D,D377)</f>
        <v>1</v>
      </c>
      <c r="I377" t="e">
        <f>SUMIF([1]Mapeamento!$J:$J,A377,[1]Mapeamento!$L:$L)</f>
        <v>#VALUE!</v>
      </c>
      <c r="J377" s="1" t="e">
        <f>SUMIF('[1]Map_Meso-Ox'!$C:$C,A377,'[1]Map_Meso-Ox'!$D:$D)</f>
        <v>#VALUE!</v>
      </c>
      <c r="K377" s="2" t="e">
        <f t="shared" si="10"/>
        <v>#VALUE!</v>
      </c>
      <c r="L377" s="1" t="e">
        <f>SUMIF('[1]Map_Meso-Ox'!$C:$C,A377,'[1]Map_Meso-Ox'!$E:$E)</f>
        <v>#VALUE!</v>
      </c>
      <c r="M377" s="2" t="e">
        <f t="shared" si="11"/>
        <v>#VALUE!</v>
      </c>
    </row>
    <row r="378" spans="1:13" x14ac:dyDescent="0.25">
      <c r="A378">
        <v>47</v>
      </c>
      <c r="B378">
        <v>-1</v>
      </c>
      <c r="C378">
        <v>46.420999999999999</v>
      </c>
      <c r="D378">
        <v>9.0499999999999997E-2</v>
      </c>
      <c r="E378" t="s">
        <v>8</v>
      </c>
      <c r="F378">
        <v>0</v>
      </c>
      <c r="G378">
        <f>COUNTIF(E:E,E378)</f>
        <v>110</v>
      </c>
      <c r="H378">
        <f>COUNTIFS(E:E,E378,A:A,A378,D:D,D378)</f>
        <v>1</v>
      </c>
      <c r="I378" t="e">
        <f>SUMIF([1]Mapeamento!$J:$J,A378,[1]Mapeamento!$L:$L)</f>
        <v>#VALUE!</v>
      </c>
      <c r="J378" s="1" t="e">
        <f>SUMIF('[1]Map_Meso-Ox'!$C:$C,A378,'[1]Map_Meso-Ox'!$D:$D)</f>
        <v>#VALUE!</v>
      </c>
      <c r="K378" s="2" t="e">
        <f t="shared" si="10"/>
        <v>#VALUE!</v>
      </c>
      <c r="L378" s="1" t="e">
        <f>SUMIF('[1]Map_Meso-Ox'!$C:$C,A378,'[1]Map_Meso-Ox'!$E:$E)</f>
        <v>#VALUE!</v>
      </c>
      <c r="M378" s="2" t="e">
        <f t="shared" si="11"/>
        <v>#VALUE!</v>
      </c>
    </row>
    <row r="379" spans="1:13" x14ac:dyDescent="0.25">
      <c r="A379">
        <v>48</v>
      </c>
      <c r="B379">
        <v>-1</v>
      </c>
      <c r="C379">
        <v>44.790999999999997</v>
      </c>
      <c r="D379">
        <v>0.11559999999999999</v>
      </c>
      <c r="E379" t="s">
        <v>8</v>
      </c>
      <c r="F379">
        <v>0</v>
      </c>
      <c r="G379">
        <f>COUNTIF(E:E,E379)</f>
        <v>110</v>
      </c>
      <c r="H379">
        <f>COUNTIFS(E:E,E379,A:A,A379,D:D,D379)</f>
        <v>1</v>
      </c>
      <c r="I379" t="e">
        <f>SUMIF([1]Mapeamento!$J:$J,A379,[1]Mapeamento!$L:$L)</f>
        <v>#VALUE!</v>
      </c>
      <c r="J379" s="1" t="e">
        <f>SUMIF('[1]Map_Meso-Ox'!$C:$C,A379,'[1]Map_Meso-Ox'!$D:$D)</f>
        <v>#VALUE!</v>
      </c>
      <c r="K379" s="2" t="e">
        <f t="shared" si="10"/>
        <v>#VALUE!</v>
      </c>
      <c r="L379" s="1" t="e">
        <f>SUMIF('[1]Map_Meso-Ox'!$C:$C,A379,'[1]Map_Meso-Ox'!$E:$E)</f>
        <v>#VALUE!</v>
      </c>
      <c r="M379" s="2" t="e">
        <f t="shared" si="11"/>
        <v>#VALUE!</v>
      </c>
    </row>
    <row r="380" spans="1:13" x14ac:dyDescent="0.25">
      <c r="A380">
        <v>49</v>
      </c>
      <c r="B380">
        <v>-1</v>
      </c>
      <c r="C380">
        <v>39.316000000000003</v>
      </c>
      <c r="D380">
        <v>0.22109999999999999</v>
      </c>
      <c r="E380" t="s">
        <v>8</v>
      </c>
      <c r="F380">
        <v>0</v>
      </c>
      <c r="G380">
        <f>COUNTIF(E:E,E380)</f>
        <v>110</v>
      </c>
      <c r="H380">
        <f>COUNTIFS(E:E,E380,A:A,A380,D:D,D380)</f>
        <v>1</v>
      </c>
      <c r="I380" t="e">
        <f>SUMIF([1]Mapeamento!$J:$J,A380,[1]Mapeamento!$L:$L)</f>
        <v>#VALUE!</v>
      </c>
      <c r="J380" s="1" t="e">
        <f>SUMIF('[1]Map_Meso-Ox'!$C:$C,A380,'[1]Map_Meso-Ox'!$D:$D)</f>
        <v>#VALUE!</v>
      </c>
      <c r="K380" s="2" t="e">
        <f t="shared" si="10"/>
        <v>#VALUE!</v>
      </c>
      <c r="L380" s="1" t="e">
        <f>SUMIF('[1]Map_Meso-Ox'!$C:$C,A380,'[1]Map_Meso-Ox'!$E:$E)</f>
        <v>#VALUE!</v>
      </c>
      <c r="M380" s="2" t="e">
        <f t="shared" si="11"/>
        <v>#VALUE!</v>
      </c>
    </row>
    <row r="381" spans="1:13" x14ac:dyDescent="0.25">
      <c r="A381">
        <v>50</v>
      </c>
      <c r="B381">
        <v>-1</v>
      </c>
      <c r="C381">
        <v>55.524000000000001</v>
      </c>
      <c r="D381">
        <v>1.01E-2</v>
      </c>
      <c r="E381" t="s">
        <v>8</v>
      </c>
      <c r="F381">
        <v>0</v>
      </c>
      <c r="G381">
        <f>COUNTIF(E:E,E381)</f>
        <v>110</v>
      </c>
      <c r="H381">
        <f>COUNTIFS(E:E,E381,A:A,A381,D:D,D381)</f>
        <v>1</v>
      </c>
      <c r="I381" t="e">
        <f>SUMIF([1]Mapeamento!$J:$J,A381,[1]Mapeamento!$L:$L)</f>
        <v>#VALUE!</v>
      </c>
      <c r="J381" s="1" t="e">
        <f>SUMIF('[1]Map_Meso-Ox'!$C:$C,A381,'[1]Map_Meso-Ox'!$D:$D)</f>
        <v>#VALUE!</v>
      </c>
      <c r="K381" s="2" t="e">
        <f t="shared" si="10"/>
        <v>#VALUE!</v>
      </c>
      <c r="L381" s="1" t="e">
        <f>SUMIF('[1]Map_Meso-Ox'!$C:$C,A381,'[1]Map_Meso-Ox'!$E:$E)</f>
        <v>#VALUE!</v>
      </c>
      <c r="M381" s="2" t="e">
        <f t="shared" si="11"/>
        <v>#VALUE!</v>
      </c>
    </row>
    <row r="382" spans="1:13" x14ac:dyDescent="0.25">
      <c r="A382">
        <v>51</v>
      </c>
      <c r="B382">
        <v>-1</v>
      </c>
      <c r="C382">
        <v>35.722999999999999</v>
      </c>
      <c r="D382">
        <v>0.39700000000000002</v>
      </c>
      <c r="E382" t="s">
        <v>8</v>
      </c>
      <c r="F382">
        <v>0</v>
      </c>
      <c r="G382">
        <f>COUNTIF(E:E,E382)</f>
        <v>110</v>
      </c>
      <c r="H382">
        <f>COUNTIFS(E:E,E382,A:A,A382,D:D,D382)</f>
        <v>1</v>
      </c>
      <c r="I382" t="e">
        <f>SUMIF([1]Mapeamento!$J:$J,A382,[1]Mapeamento!$L:$L)</f>
        <v>#VALUE!</v>
      </c>
      <c r="J382" s="1" t="e">
        <f>SUMIF('[1]Map_Meso-Ox'!$C:$C,A382,'[1]Map_Meso-Ox'!$D:$D)</f>
        <v>#VALUE!</v>
      </c>
      <c r="K382" s="2" t="e">
        <f t="shared" si="10"/>
        <v>#VALUE!</v>
      </c>
      <c r="L382" s="1" t="e">
        <f>SUMIF('[1]Map_Meso-Ox'!$C:$C,A382,'[1]Map_Meso-Ox'!$E:$E)</f>
        <v>#VALUE!</v>
      </c>
      <c r="M382" s="2" t="e">
        <f t="shared" si="11"/>
        <v>#VALUE!</v>
      </c>
    </row>
    <row r="383" spans="1:13" x14ac:dyDescent="0.25">
      <c r="A383">
        <v>52</v>
      </c>
      <c r="B383">
        <v>-1</v>
      </c>
      <c r="C383">
        <v>81.427000000000007</v>
      </c>
      <c r="D383">
        <v>0</v>
      </c>
      <c r="E383" t="s">
        <v>8</v>
      </c>
      <c r="F383">
        <v>1</v>
      </c>
      <c r="G383">
        <f>COUNTIF(E:E,E383)</f>
        <v>110</v>
      </c>
      <c r="H383">
        <f>COUNTIFS(E:E,E383,A:A,A383,D:D,D383)</f>
        <v>1</v>
      </c>
      <c r="I383" t="e">
        <f>SUMIF([1]Mapeamento!$J:$J,A383,[1]Mapeamento!$L:$L)</f>
        <v>#VALUE!</v>
      </c>
      <c r="J383" s="1" t="e">
        <f>SUMIF('[1]Map_Meso-Ox'!$C:$C,A383,'[1]Map_Meso-Ox'!$D:$D)</f>
        <v>#VALUE!</v>
      </c>
      <c r="K383" s="2" t="e">
        <f t="shared" si="10"/>
        <v>#VALUE!</v>
      </c>
      <c r="L383" s="1" t="e">
        <f>SUMIF('[1]Map_Meso-Ox'!$C:$C,A383,'[1]Map_Meso-Ox'!$E:$E)</f>
        <v>#VALUE!</v>
      </c>
      <c r="M383" s="2" t="e">
        <f t="shared" si="11"/>
        <v>#VALUE!</v>
      </c>
    </row>
    <row r="384" spans="1:13" x14ac:dyDescent="0.25">
      <c r="A384">
        <v>53</v>
      </c>
      <c r="B384">
        <v>-1</v>
      </c>
      <c r="C384">
        <v>93.73</v>
      </c>
      <c r="D384">
        <v>0</v>
      </c>
      <c r="E384" t="s">
        <v>8</v>
      </c>
      <c r="F384">
        <v>3</v>
      </c>
      <c r="G384">
        <f>COUNTIF(E:E,E384)</f>
        <v>110</v>
      </c>
      <c r="H384">
        <f>COUNTIFS(E:E,E384,A:A,A384,D:D,D384)</f>
        <v>1</v>
      </c>
      <c r="I384" t="e">
        <f>SUMIF([1]Mapeamento!$J:$J,A384,[1]Mapeamento!$L:$L)</f>
        <v>#VALUE!</v>
      </c>
      <c r="J384" s="1" t="e">
        <f>SUMIF('[1]Map_Meso-Ox'!$C:$C,A384,'[1]Map_Meso-Ox'!$D:$D)</f>
        <v>#VALUE!</v>
      </c>
      <c r="K384" s="2" t="e">
        <f t="shared" si="10"/>
        <v>#VALUE!</v>
      </c>
      <c r="L384" s="1" t="e">
        <f>SUMIF('[1]Map_Meso-Ox'!$C:$C,A384,'[1]Map_Meso-Ox'!$E:$E)</f>
        <v>#VALUE!</v>
      </c>
      <c r="M384" s="2" t="e">
        <f t="shared" si="11"/>
        <v>#VALUE!</v>
      </c>
    </row>
    <row r="385" spans="1:13" x14ac:dyDescent="0.25">
      <c r="A385">
        <v>54</v>
      </c>
      <c r="B385">
        <v>-1</v>
      </c>
      <c r="C385">
        <v>67.84</v>
      </c>
      <c r="D385">
        <v>5.0000000000000001E-3</v>
      </c>
      <c r="E385" t="s">
        <v>8</v>
      </c>
      <c r="F385">
        <v>1</v>
      </c>
      <c r="G385">
        <f>COUNTIF(E:E,E385)</f>
        <v>110</v>
      </c>
      <c r="H385">
        <f>COUNTIFS(E:E,E385,A:A,A385,D:D,D385)</f>
        <v>1</v>
      </c>
      <c r="I385" t="e">
        <f>SUMIF([1]Mapeamento!$J:$J,A385,[1]Mapeamento!$L:$L)</f>
        <v>#VALUE!</v>
      </c>
      <c r="J385" s="1" t="e">
        <f>SUMIF('[1]Map_Meso-Ox'!$C:$C,A385,'[1]Map_Meso-Ox'!$D:$D)</f>
        <v>#VALUE!</v>
      </c>
      <c r="K385" s="2" t="e">
        <f t="shared" si="10"/>
        <v>#VALUE!</v>
      </c>
      <c r="L385" s="1" t="e">
        <f>SUMIF('[1]Map_Meso-Ox'!$C:$C,A385,'[1]Map_Meso-Ox'!$E:$E)</f>
        <v>#VALUE!</v>
      </c>
      <c r="M385" s="2" t="e">
        <f t="shared" si="11"/>
        <v>#VALUE!</v>
      </c>
    </row>
    <row r="386" spans="1:13" x14ac:dyDescent="0.25">
      <c r="A386">
        <v>55</v>
      </c>
      <c r="B386">
        <v>-1</v>
      </c>
      <c r="C386">
        <v>67.697999999999993</v>
      </c>
      <c r="D386">
        <v>0</v>
      </c>
      <c r="E386" t="s">
        <v>8</v>
      </c>
      <c r="F386">
        <v>1</v>
      </c>
      <c r="G386">
        <f>COUNTIF(E:E,E386)</f>
        <v>110</v>
      </c>
      <c r="H386">
        <f>COUNTIFS(E:E,E386,A:A,A386,D:D,D386)</f>
        <v>1</v>
      </c>
      <c r="I386" t="e">
        <f>SUMIF([1]Mapeamento!$J:$J,A386,[1]Mapeamento!$L:$L)</f>
        <v>#VALUE!</v>
      </c>
      <c r="J386" s="1" t="e">
        <f>SUMIF('[1]Map_Meso-Ox'!$C:$C,A386,'[1]Map_Meso-Ox'!$D:$D)</f>
        <v>#VALUE!</v>
      </c>
      <c r="K386" s="2" t="e">
        <f t="shared" si="10"/>
        <v>#VALUE!</v>
      </c>
      <c r="L386" s="1" t="e">
        <f>SUMIF('[1]Map_Meso-Ox'!$C:$C,A386,'[1]Map_Meso-Ox'!$E:$E)</f>
        <v>#VALUE!</v>
      </c>
      <c r="M386" s="2" t="e">
        <f t="shared" si="11"/>
        <v>#VALUE!</v>
      </c>
    </row>
    <row r="387" spans="1:13" x14ac:dyDescent="0.25">
      <c r="A387">
        <v>56</v>
      </c>
      <c r="B387">
        <v>-1</v>
      </c>
      <c r="C387">
        <v>71.747</v>
      </c>
      <c r="D387">
        <v>0</v>
      </c>
      <c r="E387" t="s">
        <v>8</v>
      </c>
      <c r="F387">
        <v>1</v>
      </c>
      <c r="G387">
        <f>COUNTIF(E:E,E387)</f>
        <v>110</v>
      </c>
      <c r="H387">
        <f>COUNTIFS(E:E,E387,A:A,A387,D:D,D387)</f>
        <v>1</v>
      </c>
      <c r="I387" t="e">
        <f>SUMIF([1]Mapeamento!$J:$J,A387,[1]Mapeamento!$L:$L)</f>
        <v>#VALUE!</v>
      </c>
      <c r="J387" s="1" t="e">
        <f>SUMIF('[1]Map_Meso-Ox'!$C:$C,A387,'[1]Map_Meso-Ox'!$D:$D)</f>
        <v>#VALUE!</v>
      </c>
      <c r="K387" s="2" t="e">
        <f t="shared" ref="K387:K450" si="12">J387/203401269</f>
        <v>#VALUE!</v>
      </c>
      <c r="L387" s="1" t="e">
        <f>SUMIF('[1]Map_Meso-Ox'!$C:$C,A387,'[1]Map_Meso-Ox'!$E:$E)</f>
        <v>#VALUE!</v>
      </c>
      <c r="M387" s="2" t="e">
        <f t="shared" ref="M387:M450" si="13">L387/3868725997.715</f>
        <v>#VALUE!</v>
      </c>
    </row>
    <row r="388" spans="1:13" x14ac:dyDescent="0.25">
      <c r="A388">
        <v>57</v>
      </c>
      <c r="B388">
        <v>-1</v>
      </c>
      <c r="C388">
        <v>49.161000000000001</v>
      </c>
      <c r="D388">
        <v>2.5100000000000001E-2</v>
      </c>
      <c r="E388" t="s">
        <v>8</v>
      </c>
      <c r="F388">
        <v>0</v>
      </c>
      <c r="G388">
        <f>COUNTIF(E:E,E388)</f>
        <v>110</v>
      </c>
      <c r="H388">
        <f>COUNTIFS(E:E,E388,A:A,A388,D:D,D388)</f>
        <v>1</v>
      </c>
      <c r="I388" t="e">
        <f>SUMIF([1]Mapeamento!$J:$J,A388,[1]Mapeamento!$L:$L)</f>
        <v>#VALUE!</v>
      </c>
      <c r="J388" s="1" t="e">
        <f>SUMIF('[1]Map_Meso-Ox'!$C:$C,A388,'[1]Map_Meso-Ox'!$D:$D)</f>
        <v>#VALUE!</v>
      </c>
      <c r="K388" s="2" t="e">
        <f t="shared" si="12"/>
        <v>#VALUE!</v>
      </c>
      <c r="L388" s="1" t="e">
        <f>SUMIF('[1]Map_Meso-Ox'!$C:$C,A388,'[1]Map_Meso-Ox'!$E:$E)</f>
        <v>#VALUE!</v>
      </c>
      <c r="M388" s="2" t="e">
        <f t="shared" si="13"/>
        <v>#VALUE!</v>
      </c>
    </row>
    <row r="389" spans="1:13" x14ac:dyDescent="0.25">
      <c r="A389">
        <v>58</v>
      </c>
      <c r="B389">
        <v>-1</v>
      </c>
      <c r="C389">
        <v>69.703000000000003</v>
      </c>
      <c r="D389">
        <v>0</v>
      </c>
      <c r="E389" t="s">
        <v>8</v>
      </c>
      <c r="F389">
        <v>1</v>
      </c>
      <c r="G389">
        <f>COUNTIF(E:E,E389)</f>
        <v>110</v>
      </c>
      <c r="H389">
        <f>COUNTIFS(E:E,E389,A:A,A389,D:D,D389)</f>
        <v>1</v>
      </c>
      <c r="I389" t="e">
        <f>SUMIF([1]Mapeamento!$J:$J,A389,[1]Mapeamento!$L:$L)</f>
        <v>#VALUE!</v>
      </c>
      <c r="J389" s="1" t="e">
        <f>SUMIF('[1]Map_Meso-Ox'!$C:$C,A389,'[1]Map_Meso-Ox'!$D:$D)</f>
        <v>#VALUE!</v>
      </c>
      <c r="K389" s="2" t="e">
        <f t="shared" si="12"/>
        <v>#VALUE!</v>
      </c>
      <c r="L389" s="1" t="e">
        <f>SUMIF('[1]Map_Meso-Ox'!$C:$C,A389,'[1]Map_Meso-Ox'!$E:$E)</f>
        <v>#VALUE!</v>
      </c>
      <c r="M389" s="2" t="e">
        <f t="shared" si="13"/>
        <v>#VALUE!</v>
      </c>
    </row>
    <row r="390" spans="1:13" x14ac:dyDescent="0.25">
      <c r="A390">
        <v>59</v>
      </c>
      <c r="B390">
        <v>-1</v>
      </c>
      <c r="C390">
        <v>65.634</v>
      </c>
      <c r="D390">
        <v>5.0000000000000001E-3</v>
      </c>
      <c r="E390" t="s">
        <v>8</v>
      </c>
      <c r="F390">
        <v>1</v>
      </c>
      <c r="G390">
        <f>COUNTIF(E:E,E390)</f>
        <v>110</v>
      </c>
      <c r="H390">
        <f>COUNTIFS(E:E,E390,A:A,A390,D:D,D390)</f>
        <v>1</v>
      </c>
      <c r="I390" t="e">
        <f>SUMIF([1]Mapeamento!$J:$J,A390,[1]Mapeamento!$L:$L)</f>
        <v>#VALUE!</v>
      </c>
      <c r="J390" s="1" t="e">
        <f>SUMIF('[1]Map_Meso-Ox'!$C:$C,A390,'[1]Map_Meso-Ox'!$D:$D)</f>
        <v>#VALUE!</v>
      </c>
      <c r="K390" s="2" t="e">
        <f t="shared" si="12"/>
        <v>#VALUE!</v>
      </c>
      <c r="L390" s="1" t="e">
        <f>SUMIF('[1]Map_Meso-Ox'!$C:$C,A390,'[1]Map_Meso-Ox'!$E:$E)</f>
        <v>#VALUE!</v>
      </c>
      <c r="M390" s="2" t="e">
        <f t="shared" si="13"/>
        <v>#VALUE!</v>
      </c>
    </row>
    <row r="391" spans="1:13" x14ac:dyDescent="0.25">
      <c r="A391">
        <v>60</v>
      </c>
      <c r="B391">
        <v>-1</v>
      </c>
      <c r="C391">
        <v>77.430000000000007</v>
      </c>
      <c r="D391">
        <v>0</v>
      </c>
      <c r="E391" t="s">
        <v>8</v>
      </c>
      <c r="F391">
        <v>1</v>
      </c>
      <c r="G391">
        <f>COUNTIF(E:E,E391)</f>
        <v>110</v>
      </c>
      <c r="H391">
        <f>COUNTIFS(E:E,E391,A:A,A391,D:D,D391)</f>
        <v>1</v>
      </c>
      <c r="I391" t="e">
        <f>SUMIF([1]Mapeamento!$J:$J,A391,[1]Mapeamento!$L:$L)</f>
        <v>#VALUE!</v>
      </c>
      <c r="J391" s="1" t="e">
        <f>SUMIF('[1]Map_Meso-Ox'!$C:$C,A391,'[1]Map_Meso-Ox'!$D:$D)</f>
        <v>#VALUE!</v>
      </c>
      <c r="K391" s="2" t="e">
        <f t="shared" si="12"/>
        <v>#VALUE!</v>
      </c>
      <c r="L391" s="1" t="e">
        <f>SUMIF('[1]Map_Meso-Ox'!$C:$C,A391,'[1]Map_Meso-Ox'!$E:$E)</f>
        <v>#VALUE!</v>
      </c>
      <c r="M391" s="2" t="e">
        <f t="shared" si="13"/>
        <v>#VALUE!</v>
      </c>
    </row>
    <row r="392" spans="1:13" x14ac:dyDescent="0.25">
      <c r="A392">
        <v>61</v>
      </c>
      <c r="B392">
        <v>-1</v>
      </c>
      <c r="C392">
        <v>44.509</v>
      </c>
      <c r="D392">
        <v>5.0299999999999997E-2</v>
      </c>
      <c r="E392" t="s">
        <v>8</v>
      </c>
      <c r="F392">
        <v>0</v>
      </c>
      <c r="G392">
        <f>COUNTIF(E:E,E392)</f>
        <v>110</v>
      </c>
      <c r="H392">
        <f>COUNTIFS(E:E,E392,A:A,A392,D:D,D392)</f>
        <v>1</v>
      </c>
      <c r="I392" t="e">
        <f>SUMIF([1]Mapeamento!$J:$J,A392,[1]Mapeamento!$L:$L)</f>
        <v>#VALUE!</v>
      </c>
      <c r="J392" s="1" t="e">
        <f>SUMIF('[1]Map_Meso-Ox'!$C:$C,A392,'[1]Map_Meso-Ox'!$D:$D)</f>
        <v>#VALUE!</v>
      </c>
      <c r="K392" s="2" t="e">
        <f t="shared" si="12"/>
        <v>#VALUE!</v>
      </c>
      <c r="L392" s="1" t="e">
        <f>SUMIF('[1]Map_Meso-Ox'!$C:$C,A392,'[1]Map_Meso-Ox'!$E:$E)</f>
        <v>#VALUE!</v>
      </c>
      <c r="M392" s="2" t="e">
        <f t="shared" si="13"/>
        <v>#VALUE!</v>
      </c>
    </row>
    <row r="393" spans="1:13" x14ac:dyDescent="0.25">
      <c r="A393">
        <v>62</v>
      </c>
      <c r="B393">
        <v>-1</v>
      </c>
      <c r="C393">
        <v>65.186000000000007</v>
      </c>
      <c r="D393">
        <v>0</v>
      </c>
      <c r="E393" t="s">
        <v>8</v>
      </c>
      <c r="F393">
        <v>1</v>
      </c>
      <c r="G393">
        <f>COUNTIF(E:E,E393)</f>
        <v>110</v>
      </c>
      <c r="H393">
        <f>COUNTIFS(E:E,E393,A:A,A393,D:D,D393)</f>
        <v>1</v>
      </c>
      <c r="I393" t="e">
        <f>SUMIF([1]Mapeamento!$J:$J,A393,[1]Mapeamento!$L:$L)</f>
        <v>#VALUE!</v>
      </c>
      <c r="J393" s="1" t="e">
        <f>SUMIF('[1]Map_Meso-Ox'!$C:$C,A393,'[1]Map_Meso-Ox'!$D:$D)</f>
        <v>#VALUE!</v>
      </c>
      <c r="K393" s="2" t="e">
        <f t="shared" si="12"/>
        <v>#VALUE!</v>
      </c>
      <c r="L393" s="1" t="e">
        <f>SUMIF('[1]Map_Meso-Ox'!$C:$C,A393,'[1]Map_Meso-Ox'!$E:$E)</f>
        <v>#VALUE!</v>
      </c>
      <c r="M393" s="2" t="e">
        <f t="shared" si="13"/>
        <v>#VALUE!</v>
      </c>
    </row>
    <row r="394" spans="1:13" x14ac:dyDescent="0.25">
      <c r="A394">
        <v>63</v>
      </c>
      <c r="B394">
        <v>-1</v>
      </c>
      <c r="C394">
        <v>59.953000000000003</v>
      </c>
      <c r="D394">
        <v>1.01E-2</v>
      </c>
      <c r="E394" t="s">
        <v>8</v>
      </c>
      <c r="F394">
        <v>1</v>
      </c>
      <c r="G394">
        <f>COUNTIF(E:E,E394)</f>
        <v>110</v>
      </c>
      <c r="H394">
        <f>COUNTIFS(E:E,E394,A:A,A394,D:D,D394)</f>
        <v>1</v>
      </c>
      <c r="I394" t="e">
        <f>SUMIF([1]Mapeamento!$J:$J,A394,[1]Mapeamento!$L:$L)</f>
        <v>#VALUE!</v>
      </c>
      <c r="J394" s="1" t="e">
        <f>SUMIF('[1]Map_Meso-Ox'!$C:$C,A394,'[1]Map_Meso-Ox'!$D:$D)</f>
        <v>#VALUE!</v>
      </c>
      <c r="K394" s="2" t="e">
        <f t="shared" si="12"/>
        <v>#VALUE!</v>
      </c>
      <c r="L394" s="1" t="e">
        <f>SUMIF('[1]Map_Meso-Ox'!$C:$C,A394,'[1]Map_Meso-Ox'!$E:$E)</f>
        <v>#VALUE!</v>
      </c>
      <c r="M394" s="2" t="e">
        <f t="shared" si="13"/>
        <v>#VALUE!</v>
      </c>
    </row>
    <row r="395" spans="1:13" x14ac:dyDescent="0.25">
      <c r="A395">
        <v>64</v>
      </c>
      <c r="B395">
        <v>-1</v>
      </c>
      <c r="C395">
        <v>46.423999999999999</v>
      </c>
      <c r="D395">
        <v>1.5100000000000001E-2</v>
      </c>
      <c r="E395" t="s">
        <v>8</v>
      </c>
      <c r="F395">
        <v>0</v>
      </c>
      <c r="G395">
        <f>COUNTIF(E:E,E395)</f>
        <v>110</v>
      </c>
      <c r="H395">
        <f>COUNTIFS(E:E,E395,A:A,A395,D:D,D395)</f>
        <v>1</v>
      </c>
      <c r="I395" t="e">
        <f>SUMIF([1]Mapeamento!$J:$J,A395,[1]Mapeamento!$L:$L)</f>
        <v>#VALUE!</v>
      </c>
      <c r="J395" s="1" t="e">
        <f>SUMIF('[1]Map_Meso-Ox'!$C:$C,A395,'[1]Map_Meso-Ox'!$D:$D)</f>
        <v>#VALUE!</v>
      </c>
      <c r="K395" s="2" t="e">
        <f t="shared" si="12"/>
        <v>#VALUE!</v>
      </c>
      <c r="L395" s="1" t="e">
        <f>SUMIF('[1]Map_Meso-Ox'!$C:$C,A395,'[1]Map_Meso-Ox'!$E:$E)</f>
        <v>#VALUE!</v>
      </c>
      <c r="M395" s="2" t="e">
        <f t="shared" si="13"/>
        <v>#VALUE!</v>
      </c>
    </row>
    <row r="396" spans="1:13" x14ac:dyDescent="0.25">
      <c r="A396">
        <v>65</v>
      </c>
      <c r="B396">
        <v>-1</v>
      </c>
      <c r="C396">
        <v>99.802999999999997</v>
      </c>
      <c r="D396">
        <v>0</v>
      </c>
      <c r="E396" t="s">
        <v>8</v>
      </c>
      <c r="F396">
        <v>2</v>
      </c>
      <c r="G396">
        <f>COUNTIF(E:E,E396)</f>
        <v>110</v>
      </c>
      <c r="H396">
        <f>COUNTIFS(E:E,E396,A:A,A396,D:D,D396)</f>
        <v>1</v>
      </c>
      <c r="I396" t="e">
        <f>SUMIF([1]Mapeamento!$J:$J,A396,[1]Mapeamento!$L:$L)</f>
        <v>#VALUE!</v>
      </c>
      <c r="J396" s="1" t="e">
        <f>SUMIF('[1]Map_Meso-Ox'!$C:$C,A396,'[1]Map_Meso-Ox'!$D:$D)</f>
        <v>#VALUE!</v>
      </c>
      <c r="K396" s="2" t="e">
        <f t="shared" si="12"/>
        <v>#VALUE!</v>
      </c>
      <c r="L396" s="1" t="e">
        <f>SUMIF('[1]Map_Meso-Ox'!$C:$C,A396,'[1]Map_Meso-Ox'!$E:$E)</f>
        <v>#VALUE!</v>
      </c>
      <c r="M396" s="2" t="e">
        <f t="shared" si="13"/>
        <v>#VALUE!</v>
      </c>
    </row>
    <row r="397" spans="1:13" x14ac:dyDescent="0.25">
      <c r="A397">
        <v>66</v>
      </c>
      <c r="B397">
        <v>-1</v>
      </c>
      <c r="C397">
        <v>72.415000000000006</v>
      </c>
      <c r="D397">
        <v>0</v>
      </c>
      <c r="E397" t="s">
        <v>8</v>
      </c>
      <c r="F397">
        <v>1</v>
      </c>
      <c r="G397">
        <f>COUNTIF(E:E,E397)</f>
        <v>110</v>
      </c>
      <c r="H397">
        <f>COUNTIFS(E:E,E397,A:A,A397,D:D,D397)</f>
        <v>1</v>
      </c>
      <c r="I397" t="e">
        <f>SUMIF([1]Mapeamento!$J:$J,A397,[1]Mapeamento!$L:$L)</f>
        <v>#VALUE!</v>
      </c>
      <c r="J397" s="1" t="e">
        <f>SUMIF('[1]Map_Meso-Ox'!$C:$C,A397,'[1]Map_Meso-Ox'!$D:$D)</f>
        <v>#VALUE!</v>
      </c>
      <c r="K397" s="2" t="e">
        <f t="shared" si="12"/>
        <v>#VALUE!</v>
      </c>
      <c r="L397" s="1" t="e">
        <f>SUMIF('[1]Map_Meso-Ox'!$C:$C,A397,'[1]Map_Meso-Ox'!$E:$E)</f>
        <v>#VALUE!</v>
      </c>
      <c r="M397" s="2" t="e">
        <f t="shared" si="13"/>
        <v>#VALUE!</v>
      </c>
    </row>
    <row r="398" spans="1:13" x14ac:dyDescent="0.25">
      <c r="A398">
        <v>67</v>
      </c>
      <c r="B398">
        <v>-1</v>
      </c>
      <c r="C398">
        <v>85.685000000000002</v>
      </c>
      <c r="D398">
        <v>0</v>
      </c>
      <c r="E398" t="s">
        <v>8</v>
      </c>
      <c r="F398">
        <v>1</v>
      </c>
      <c r="G398">
        <f>COUNTIF(E:E,E398)</f>
        <v>110</v>
      </c>
      <c r="H398">
        <f>COUNTIFS(E:E,E398,A:A,A398,D:D,D398)</f>
        <v>1</v>
      </c>
      <c r="I398" t="e">
        <f>SUMIF([1]Mapeamento!$J:$J,A398,[1]Mapeamento!$L:$L)</f>
        <v>#VALUE!</v>
      </c>
      <c r="J398" s="1" t="e">
        <f>SUMIF('[1]Map_Meso-Ox'!$C:$C,A398,'[1]Map_Meso-Ox'!$D:$D)</f>
        <v>#VALUE!</v>
      </c>
      <c r="K398" s="2" t="e">
        <f t="shared" si="12"/>
        <v>#VALUE!</v>
      </c>
      <c r="L398" s="1" t="e">
        <f>SUMIF('[1]Map_Meso-Ox'!$C:$C,A398,'[1]Map_Meso-Ox'!$E:$E)</f>
        <v>#VALUE!</v>
      </c>
      <c r="M398" s="2" t="e">
        <f t="shared" si="13"/>
        <v>#VALUE!</v>
      </c>
    </row>
    <row r="399" spans="1:13" x14ac:dyDescent="0.25">
      <c r="A399">
        <v>68</v>
      </c>
      <c r="B399">
        <v>-1</v>
      </c>
      <c r="C399">
        <v>95.641000000000005</v>
      </c>
      <c r="D399">
        <v>0</v>
      </c>
      <c r="E399" t="s">
        <v>8</v>
      </c>
      <c r="F399">
        <v>3</v>
      </c>
      <c r="G399">
        <f>COUNTIF(E:E,E399)</f>
        <v>110</v>
      </c>
      <c r="H399">
        <f>COUNTIFS(E:E,E399,A:A,A399,D:D,D399)</f>
        <v>1</v>
      </c>
      <c r="I399" t="e">
        <f>SUMIF([1]Mapeamento!$J:$J,A399,[1]Mapeamento!$L:$L)</f>
        <v>#VALUE!</v>
      </c>
      <c r="J399" s="1" t="e">
        <f>SUMIF('[1]Map_Meso-Ox'!$C:$C,A399,'[1]Map_Meso-Ox'!$D:$D)</f>
        <v>#VALUE!</v>
      </c>
      <c r="K399" s="2" t="e">
        <f t="shared" si="12"/>
        <v>#VALUE!</v>
      </c>
      <c r="L399" s="1" t="e">
        <f>SUMIF('[1]Map_Meso-Ox'!$C:$C,A399,'[1]Map_Meso-Ox'!$E:$E)</f>
        <v>#VALUE!</v>
      </c>
      <c r="M399" s="2" t="e">
        <f t="shared" si="13"/>
        <v>#VALUE!</v>
      </c>
    </row>
    <row r="400" spans="1:13" x14ac:dyDescent="0.25">
      <c r="A400">
        <v>69</v>
      </c>
      <c r="B400">
        <v>-1</v>
      </c>
      <c r="C400">
        <v>44.317</v>
      </c>
      <c r="D400">
        <v>3.5200000000000002E-2</v>
      </c>
      <c r="E400" t="s">
        <v>8</v>
      </c>
      <c r="F400">
        <v>0</v>
      </c>
      <c r="G400">
        <f>COUNTIF(E:E,E400)</f>
        <v>110</v>
      </c>
      <c r="H400">
        <f>COUNTIFS(E:E,E400,A:A,A400,D:D,D400)</f>
        <v>1</v>
      </c>
      <c r="I400" t="e">
        <f>SUMIF([1]Mapeamento!$J:$J,A400,[1]Mapeamento!$L:$L)</f>
        <v>#VALUE!</v>
      </c>
      <c r="J400" s="1" t="e">
        <f>SUMIF('[1]Map_Meso-Ox'!$C:$C,A400,'[1]Map_Meso-Ox'!$D:$D)</f>
        <v>#VALUE!</v>
      </c>
      <c r="K400" s="2" t="e">
        <f t="shared" si="12"/>
        <v>#VALUE!</v>
      </c>
      <c r="L400" s="1" t="e">
        <f>SUMIF('[1]Map_Meso-Ox'!$C:$C,A400,'[1]Map_Meso-Ox'!$E:$E)</f>
        <v>#VALUE!</v>
      </c>
      <c r="M400" s="2" t="e">
        <f t="shared" si="13"/>
        <v>#VALUE!</v>
      </c>
    </row>
    <row r="401" spans="1:13" x14ac:dyDescent="0.25">
      <c r="A401">
        <v>70</v>
      </c>
      <c r="B401">
        <v>-1</v>
      </c>
      <c r="C401">
        <v>66.353999999999999</v>
      </c>
      <c r="D401">
        <v>0</v>
      </c>
      <c r="E401" t="s">
        <v>8</v>
      </c>
      <c r="F401">
        <v>1</v>
      </c>
      <c r="G401">
        <f>COUNTIF(E:E,E401)</f>
        <v>110</v>
      </c>
      <c r="H401">
        <f>COUNTIFS(E:E,E401,A:A,A401,D:D,D401)</f>
        <v>1</v>
      </c>
      <c r="I401" t="e">
        <f>SUMIF([1]Mapeamento!$J:$J,A401,[1]Mapeamento!$L:$L)</f>
        <v>#VALUE!</v>
      </c>
      <c r="J401" s="1" t="e">
        <f>SUMIF('[1]Map_Meso-Ox'!$C:$C,A401,'[1]Map_Meso-Ox'!$D:$D)</f>
        <v>#VALUE!</v>
      </c>
      <c r="K401" s="2" t="e">
        <f t="shared" si="12"/>
        <v>#VALUE!</v>
      </c>
      <c r="L401" s="1" t="e">
        <f>SUMIF('[1]Map_Meso-Ox'!$C:$C,A401,'[1]Map_Meso-Ox'!$E:$E)</f>
        <v>#VALUE!</v>
      </c>
      <c r="M401" s="2" t="e">
        <f t="shared" si="13"/>
        <v>#VALUE!</v>
      </c>
    </row>
    <row r="402" spans="1:13" x14ac:dyDescent="0.25">
      <c r="A402">
        <v>71</v>
      </c>
      <c r="B402">
        <v>-1</v>
      </c>
      <c r="C402">
        <v>70.45</v>
      </c>
      <c r="D402">
        <v>0</v>
      </c>
      <c r="E402" t="s">
        <v>8</v>
      </c>
      <c r="F402">
        <v>2</v>
      </c>
      <c r="G402">
        <f>COUNTIF(E:E,E402)</f>
        <v>110</v>
      </c>
      <c r="H402">
        <f>COUNTIFS(E:E,E402,A:A,A402,D:D,D402)</f>
        <v>1</v>
      </c>
      <c r="I402" t="e">
        <f>SUMIF([1]Mapeamento!$J:$J,A402,[1]Mapeamento!$L:$L)</f>
        <v>#VALUE!</v>
      </c>
      <c r="J402" s="1" t="e">
        <f>SUMIF('[1]Map_Meso-Ox'!$C:$C,A402,'[1]Map_Meso-Ox'!$D:$D)</f>
        <v>#VALUE!</v>
      </c>
      <c r="K402" s="2" t="e">
        <f t="shared" si="12"/>
        <v>#VALUE!</v>
      </c>
      <c r="L402" s="1" t="e">
        <f>SUMIF('[1]Map_Meso-Ox'!$C:$C,A402,'[1]Map_Meso-Ox'!$E:$E)</f>
        <v>#VALUE!</v>
      </c>
      <c r="M402" s="2" t="e">
        <f t="shared" si="13"/>
        <v>#VALUE!</v>
      </c>
    </row>
    <row r="403" spans="1:13" x14ac:dyDescent="0.25">
      <c r="A403">
        <v>72</v>
      </c>
      <c r="B403">
        <v>-1</v>
      </c>
      <c r="C403">
        <v>70.213999999999999</v>
      </c>
      <c r="D403">
        <v>0</v>
      </c>
      <c r="E403" t="s">
        <v>8</v>
      </c>
      <c r="F403">
        <v>1</v>
      </c>
      <c r="G403">
        <f>COUNTIF(E:E,E403)</f>
        <v>110</v>
      </c>
      <c r="H403">
        <f>COUNTIFS(E:E,E403,A:A,A403,D:D,D403)</f>
        <v>1</v>
      </c>
      <c r="I403" t="e">
        <f>SUMIF([1]Mapeamento!$J:$J,A403,[1]Mapeamento!$L:$L)</f>
        <v>#VALUE!</v>
      </c>
      <c r="J403" s="1" t="e">
        <f>SUMIF('[1]Map_Meso-Ox'!$C:$C,A403,'[1]Map_Meso-Ox'!$D:$D)</f>
        <v>#VALUE!</v>
      </c>
      <c r="K403" s="2" t="e">
        <f t="shared" si="12"/>
        <v>#VALUE!</v>
      </c>
      <c r="L403" s="1" t="e">
        <f>SUMIF('[1]Map_Meso-Ox'!$C:$C,A403,'[1]Map_Meso-Ox'!$E:$E)</f>
        <v>#VALUE!</v>
      </c>
      <c r="M403" s="2" t="e">
        <f t="shared" si="13"/>
        <v>#VALUE!</v>
      </c>
    </row>
    <row r="404" spans="1:13" x14ac:dyDescent="0.25">
      <c r="A404">
        <v>73</v>
      </c>
      <c r="B404">
        <v>-1</v>
      </c>
      <c r="C404">
        <v>87.731999999999999</v>
      </c>
      <c r="D404">
        <v>0</v>
      </c>
      <c r="E404" t="s">
        <v>8</v>
      </c>
      <c r="F404">
        <v>2</v>
      </c>
      <c r="G404">
        <f>COUNTIF(E:E,E404)</f>
        <v>110</v>
      </c>
      <c r="H404">
        <f>COUNTIFS(E:E,E404,A:A,A404,D:D,D404)</f>
        <v>1</v>
      </c>
      <c r="I404" t="e">
        <f>SUMIF([1]Mapeamento!$J:$J,A404,[1]Mapeamento!$L:$L)</f>
        <v>#VALUE!</v>
      </c>
      <c r="J404" s="1" t="e">
        <f>SUMIF('[1]Map_Meso-Ox'!$C:$C,A404,'[1]Map_Meso-Ox'!$D:$D)</f>
        <v>#VALUE!</v>
      </c>
      <c r="K404" s="2" t="e">
        <f t="shared" si="12"/>
        <v>#VALUE!</v>
      </c>
      <c r="L404" s="1" t="e">
        <f>SUMIF('[1]Map_Meso-Ox'!$C:$C,A404,'[1]Map_Meso-Ox'!$E:$E)</f>
        <v>#VALUE!</v>
      </c>
      <c r="M404" s="2" t="e">
        <f t="shared" si="13"/>
        <v>#VALUE!</v>
      </c>
    </row>
    <row r="405" spans="1:13" x14ac:dyDescent="0.25">
      <c r="A405">
        <v>74</v>
      </c>
      <c r="B405">
        <v>-1</v>
      </c>
      <c r="C405">
        <v>36.149000000000001</v>
      </c>
      <c r="D405">
        <v>0.20599999999999999</v>
      </c>
      <c r="E405" t="s">
        <v>8</v>
      </c>
      <c r="F405">
        <v>0</v>
      </c>
      <c r="G405">
        <f>COUNTIF(E:E,E405)</f>
        <v>110</v>
      </c>
      <c r="H405">
        <f>COUNTIFS(E:E,E405,A:A,A405,D:D,D405)</f>
        <v>1</v>
      </c>
      <c r="I405" t="e">
        <f>SUMIF([1]Mapeamento!$J:$J,A405,[1]Mapeamento!$L:$L)</f>
        <v>#VALUE!</v>
      </c>
      <c r="J405" s="1" t="e">
        <f>SUMIF('[1]Map_Meso-Ox'!$C:$C,A405,'[1]Map_Meso-Ox'!$D:$D)</f>
        <v>#VALUE!</v>
      </c>
      <c r="K405" s="2" t="e">
        <f t="shared" si="12"/>
        <v>#VALUE!</v>
      </c>
      <c r="L405" s="1" t="e">
        <f>SUMIF('[1]Map_Meso-Ox'!$C:$C,A405,'[1]Map_Meso-Ox'!$E:$E)</f>
        <v>#VALUE!</v>
      </c>
      <c r="M405" s="2" t="e">
        <f t="shared" si="13"/>
        <v>#VALUE!</v>
      </c>
    </row>
    <row r="406" spans="1:13" x14ac:dyDescent="0.25">
      <c r="A406">
        <v>75</v>
      </c>
      <c r="B406">
        <v>-1</v>
      </c>
      <c r="C406">
        <v>56.877000000000002</v>
      </c>
      <c r="D406">
        <v>0</v>
      </c>
      <c r="E406" t="s">
        <v>8</v>
      </c>
      <c r="F406">
        <v>1</v>
      </c>
      <c r="G406">
        <f>COUNTIF(E:E,E406)</f>
        <v>110</v>
      </c>
      <c r="H406">
        <f>COUNTIFS(E:E,E406,A:A,A406,D:D,D406)</f>
        <v>1</v>
      </c>
      <c r="I406" t="e">
        <f>SUMIF([1]Mapeamento!$J:$J,A406,[1]Mapeamento!$L:$L)</f>
        <v>#VALUE!</v>
      </c>
      <c r="J406" s="1" t="e">
        <f>SUMIF('[1]Map_Meso-Ox'!$C:$C,A406,'[1]Map_Meso-Ox'!$D:$D)</f>
        <v>#VALUE!</v>
      </c>
      <c r="K406" s="2" t="e">
        <f t="shared" si="12"/>
        <v>#VALUE!</v>
      </c>
      <c r="L406" s="1" t="e">
        <f>SUMIF('[1]Map_Meso-Ox'!$C:$C,A406,'[1]Map_Meso-Ox'!$E:$E)</f>
        <v>#VALUE!</v>
      </c>
      <c r="M406" s="2" t="e">
        <f t="shared" si="13"/>
        <v>#VALUE!</v>
      </c>
    </row>
    <row r="407" spans="1:13" x14ac:dyDescent="0.25">
      <c r="A407">
        <v>76</v>
      </c>
      <c r="B407">
        <v>-1</v>
      </c>
      <c r="C407">
        <v>70.313999999999993</v>
      </c>
      <c r="D407">
        <v>0</v>
      </c>
      <c r="E407" t="s">
        <v>8</v>
      </c>
      <c r="F407">
        <v>1</v>
      </c>
      <c r="G407">
        <f>COUNTIF(E:E,E407)</f>
        <v>110</v>
      </c>
      <c r="H407">
        <f>COUNTIFS(E:E,E407,A:A,A407,D:D,D407)</f>
        <v>1</v>
      </c>
      <c r="I407" t="e">
        <f>SUMIF([1]Mapeamento!$J:$J,A407,[1]Mapeamento!$L:$L)</f>
        <v>#VALUE!</v>
      </c>
      <c r="J407" s="1" t="e">
        <f>SUMIF('[1]Map_Meso-Ox'!$C:$C,A407,'[1]Map_Meso-Ox'!$D:$D)</f>
        <v>#VALUE!</v>
      </c>
      <c r="K407" s="2" t="e">
        <f t="shared" si="12"/>
        <v>#VALUE!</v>
      </c>
      <c r="L407" s="1" t="e">
        <f>SUMIF('[1]Map_Meso-Ox'!$C:$C,A407,'[1]Map_Meso-Ox'!$E:$E)</f>
        <v>#VALUE!</v>
      </c>
      <c r="M407" s="2" t="e">
        <f t="shared" si="13"/>
        <v>#VALUE!</v>
      </c>
    </row>
    <row r="408" spans="1:13" x14ac:dyDescent="0.25">
      <c r="A408">
        <v>77</v>
      </c>
      <c r="B408">
        <v>-1</v>
      </c>
      <c r="C408">
        <v>71.977000000000004</v>
      </c>
      <c r="D408">
        <v>0</v>
      </c>
      <c r="E408" t="s">
        <v>8</v>
      </c>
      <c r="F408">
        <v>1</v>
      </c>
      <c r="G408">
        <f>COUNTIF(E:E,E408)</f>
        <v>110</v>
      </c>
      <c r="H408">
        <f>COUNTIFS(E:E,E408,A:A,A408,D:D,D408)</f>
        <v>1</v>
      </c>
      <c r="I408" t="e">
        <f>SUMIF([1]Mapeamento!$J:$J,A408,[1]Mapeamento!$L:$L)</f>
        <v>#VALUE!</v>
      </c>
      <c r="J408" s="1" t="e">
        <f>SUMIF('[1]Map_Meso-Ox'!$C:$C,A408,'[1]Map_Meso-Ox'!$D:$D)</f>
        <v>#VALUE!</v>
      </c>
      <c r="K408" s="2" t="e">
        <f t="shared" si="12"/>
        <v>#VALUE!</v>
      </c>
      <c r="L408" s="1" t="e">
        <f>SUMIF('[1]Map_Meso-Ox'!$C:$C,A408,'[1]Map_Meso-Ox'!$E:$E)</f>
        <v>#VALUE!</v>
      </c>
      <c r="M408" s="2" t="e">
        <f t="shared" si="13"/>
        <v>#VALUE!</v>
      </c>
    </row>
    <row r="409" spans="1:13" x14ac:dyDescent="0.25">
      <c r="A409">
        <v>78</v>
      </c>
      <c r="B409">
        <v>-1</v>
      </c>
      <c r="C409">
        <v>86.888999999999996</v>
      </c>
      <c r="D409">
        <v>0</v>
      </c>
      <c r="E409" t="s">
        <v>8</v>
      </c>
      <c r="F409">
        <v>2</v>
      </c>
      <c r="G409">
        <f>COUNTIF(E:E,E409)</f>
        <v>110</v>
      </c>
      <c r="H409">
        <f>COUNTIFS(E:E,E409,A:A,A409,D:D,D409)</f>
        <v>1</v>
      </c>
      <c r="I409" t="e">
        <f>SUMIF([1]Mapeamento!$J:$J,A409,[1]Mapeamento!$L:$L)</f>
        <v>#VALUE!</v>
      </c>
      <c r="J409" s="1" t="e">
        <f>SUMIF('[1]Map_Meso-Ox'!$C:$C,A409,'[1]Map_Meso-Ox'!$D:$D)</f>
        <v>#VALUE!</v>
      </c>
      <c r="K409" s="2" t="e">
        <f t="shared" si="12"/>
        <v>#VALUE!</v>
      </c>
      <c r="L409" s="1" t="e">
        <f>SUMIF('[1]Map_Meso-Ox'!$C:$C,A409,'[1]Map_Meso-Ox'!$E:$E)</f>
        <v>#VALUE!</v>
      </c>
      <c r="M409" s="2" t="e">
        <f t="shared" si="13"/>
        <v>#VALUE!</v>
      </c>
    </row>
    <row r="410" spans="1:13" x14ac:dyDescent="0.25">
      <c r="A410">
        <v>79</v>
      </c>
      <c r="B410">
        <v>-1</v>
      </c>
      <c r="C410">
        <v>75.054000000000002</v>
      </c>
      <c r="D410">
        <v>0</v>
      </c>
      <c r="E410" t="s">
        <v>8</v>
      </c>
      <c r="F410">
        <v>1</v>
      </c>
      <c r="G410">
        <f>COUNTIF(E:E,E410)</f>
        <v>110</v>
      </c>
      <c r="H410">
        <f>COUNTIFS(E:E,E410,A:A,A410,D:D,D410)</f>
        <v>1</v>
      </c>
      <c r="I410" t="e">
        <f>SUMIF([1]Mapeamento!$J:$J,A410,[1]Mapeamento!$L:$L)</f>
        <v>#VALUE!</v>
      </c>
      <c r="J410" s="1" t="e">
        <f>SUMIF('[1]Map_Meso-Ox'!$C:$C,A410,'[1]Map_Meso-Ox'!$D:$D)</f>
        <v>#VALUE!</v>
      </c>
      <c r="K410" s="2" t="e">
        <f t="shared" si="12"/>
        <v>#VALUE!</v>
      </c>
      <c r="L410" s="1" t="e">
        <f>SUMIF('[1]Map_Meso-Ox'!$C:$C,A410,'[1]Map_Meso-Ox'!$E:$E)</f>
        <v>#VALUE!</v>
      </c>
      <c r="M410" s="2" t="e">
        <f t="shared" si="13"/>
        <v>#VALUE!</v>
      </c>
    </row>
    <row r="411" spans="1:13" x14ac:dyDescent="0.25">
      <c r="A411">
        <v>80</v>
      </c>
      <c r="B411">
        <v>-1</v>
      </c>
      <c r="C411">
        <v>54.902000000000001</v>
      </c>
      <c r="D411">
        <v>1.01E-2</v>
      </c>
      <c r="E411" t="s">
        <v>8</v>
      </c>
      <c r="F411">
        <v>1</v>
      </c>
      <c r="G411">
        <f>COUNTIF(E:E,E411)</f>
        <v>110</v>
      </c>
      <c r="H411">
        <f>COUNTIFS(E:E,E411,A:A,A411,D:D,D411)</f>
        <v>1</v>
      </c>
      <c r="I411" t="e">
        <f>SUMIF([1]Mapeamento!$J:$J,A411,[1]Mapeamento!$L:$L)</f>
        <v>#VALUE!</v>
      </c>
      <c r="J411" s="1" t="e">
        <f>SUMIF('[1]Map_Meso-Ox'!$C:$C,A411,'[1]Map_Meso-Ox'!$D:$D)</f>
        <v>#VALUE!</v>
      </c>
      <c r="K411" s="2" t="e">
        <f t="shared" si="12"/>
        <v>#VALUE!</v>
      </c>
      <c r="L411" s="1" t="e">
        <f>SUMIF('[1]Map_Meso-Ox'!$C:$C,A411,'[1]Map_Meso-Ox'!$E:$E)</f>
        <v>#VALUE!</v>
      </c>
      <c r="M411" s="2" t="e">
        <f t="shared" si="13"/>
        <v>#VALUE!</v>
      </c>
    </row>
    <row r="412" spans="1:13" x14ac:dyDescent="0.25">
      <c r="A412">
        <v>81</v>
      </c>
      <c r="B412">
        <v>-1</v>
      </c>
      <c r="C412">
        <v>74.234999999999999</v>
      </c>
      <c r="D412">
        <v>0</v>
      </c>
      <c r="E412" t="s">
        <v>8</v>
      </c>
      <c r="F412">
        <v>1</v>
      </c>
      <c r="G412">
        <f>COUNTIF(E:E,E412)</f>
        <v>110</v>
      </c>
      <c r="H412">
        <f>COUNTIFS(E:E,E412,A:A,A412,D:D,D412)</f>
        <v>1</v>
      </c>
      <c r="I412" t="e">
        <f>SUMIF([1]Mapeamento!$J:$J,A412,[1]Mapeamento!$L:$L)</f>
        <v>#VALUE!</v>
      </c>
      <c r="J412" s="1" t="e">
        <f>SUMIF('[1]Map_Meso-Ox'!$C:$C,A412,'[1]Map_Meso-Ox'!$D:$D)</f>
        <v>#VALUE!</v>
      </c>
      <c r="K412" s="2" t="e">
        <f t="shared" si="12"/>
        <v>#VALUE!</v>
      </c>
      <c r="L412" s="1" t="e">
        <f>SUMIF('[1]Map_Meso-Ox'!$C:$C,A412,'[1]Map_Meso-Ox'!$E:$E)</f>
        <v>#VALUE!</v>
      </c>
      <c r="M412" s="2" t="e">
        <f t="shared" si="13"/>
        <v>#VALUE!</v>
      </c>
    </row>
    <row r="413" spans="1:13" x14ac:dyDescent="0.25">
      <c r="A413">
        <v>82</v>
      </c>
      <c r="B413">
        <v>-1</v>
      </c>
      <c r="C413">
        <v>48.393000000000001</v>
      </c>
      <c r="D413">
        <v>4.02E-2</v>
      </c>
      <c r="E413" t="s">
        <v>8</v>
      </c>
      <c r="F413">
        <v>1</v>
      </c>
      <c r="G413">
        <f>COUNTIF(E:E,E413)</f>
        <v>110</v>
      </c>
      <c r="H413">
        <f>COUNTIFS(E:E,E413,A:A,A413,D:D,D413)</f>
        <v>1</v>
      </c>
      <c r="I413" t="e">
        <f>SUMIF([1]Mapeamento!$J:$J,A413,[1]Mapeamento!$L:$L)</f>
        <v>#VALUE!</v>
      </c>
      <c r="J413" s="1" t="e">
        <f>SUMIF('[1]Map_Meso-Ox'!$C:$C,A413,'[1]Map_Meso-Ox'!$D:$D)</f>
        <v>#VALUE!</v>
      </c>
      <c r="K413" s="2" t="e">
        <f t="shared" si="12"/>
        <v>#VALUE!</v>
      </c>
      <c r="L413" s="1" t="e">
        <f>SUMIF('[1]Map_Meso-Ox'!$C:$C,A413,'[1]Map_Meso-Ox'!$E:$E)</f>
        <v>#VALUE!</v>
      </c>
      <c r="M413" s="2" t="e">
        <f t="shared" si="13"/>
        <v>#VALUE!</v>
      </c>
    </row>
    <row r="414" spans="1:13" x14ac:dyDescent="0.25">
      <c r="A414">
        <v>83</v>
      </c>
      <c r="B414">
        <v>-1</v>
      </c>
      <c r="C414">
        <v>74.174000000000007</v>
      </c>
      <c r="D414">
        <v>0</v>
      </c>
      <c r="E414" t="s">
        <v>8</v>
      </c>
      <c r="F414">
        <v>1</v>
      </c>
      <c r="G414">
        <f>COUNTIF(E:E,E414)</f>
        <v>110</v>
      </c>
      <c r="H414">
        <f>COUNTIFS(E:E,E414,A:A,A414,D:D,D414)</f>
        <v>1</v>
      </c>
      <c r="I414" t="e">
        <f>SUMIF([1]Mapeamento!$J:$J,A414,[1]Mapeamento!$L:$L)</f>
        <v>#VALUE!</v>
      </c>
      <c r="J414" s="1" t="e">
        <f>SUMIF('[1]Map_Meso-Ox'!$C:$C,A414,'[1]Map_Meso-Ox'!$D:$D)</f>
        <v>#VALUE!</v>
      </c>
      <c r="K414" s="2" t="e">
        <f t="shared" si="12"/>
        <v>#VALUE!</v>
      </c>
      <c r="L414" s="1" t="e">
        <f>SUMIF('[1]Map_Meso-Ox'!$C:$C,A414,'[1]Map_Meso-Ox'!$E:$E)</f>
        <v>#VALUE!</v>
      </c>
      <c r="M414" s="2" t="e">
        <f t="shared" si="13"/>
        <v>#VALUE!</v>
      </c>
    </row>
    <row r="415" spans="1:13" x14ac:dyDescent="0.25">
      <c r="A415">
        <v>84</v>
      </c>
      <c r="B415">
        <v>-1</v>
      </c>
      <c r="C415">
        <v>65.316000000000003</v>
      </c>
      <c r="D415">
        <v>0</v>
      </c>
      <c r="E415" t="s">
        <v>8</v>
      </c>
      <c r="F415">
        <v>2</v>
      </c>
      <c r="G415">
        <f>COUNTIF(E:E,E415)</f>
        <v>110</v>
      </c>
      <c r="H415">
        <f>COUNTIFS(E:E,E415,A:A,A415,D:D,D415)</f>
        <v>1</v>
      </c>
      <c r="I415" t="e">
        <f>SUMIF([1]Mapeamento!$J:$J,A415,[1]Mapeamento!$L:$L)</f>
        <v>#VALUE!</v>
      </c>
      <c r="J415" s="1" t="e">
        <f>SUMIF('[1]Map_Meso-Ox'!$C:$C,A415,'[1]Map_Meso-Ox'!$D:$D)</f>
        <v>#VALUE!</v>
      </c>
      <c r="K415" s="2" t="e">
        <f t="shared" si="12"/>
        <v>#VALUE!</v>
      </c>
      <c r="L415" s="1" t="e">
        <f>SUMIF('[1]Map_Meso-Ox'!$C:$C,A415,'[1]Map_Meso-Ox'!$E:$E)</f>
        <v>#VALUE!</v>
      </c>
      <c r="M415" s="2" t="e">
        <f t="shared" si="13"/>
        <v>#VALUE!</v>
      </c>
    </row>
    <row r="416" spans="1:13" x14ac:dyDescent="0.25">
      <c r="A416">
        <v>85</v>
      </c>
      <c r="B416">
        <v>-1</v>
      </c>
      <c r="C416">
        <v>58.084000000000003</v>
      </c>
      <c r="D416">
        <v>1.01E-2</v>
      </c>
      <c r="E416" t="s">
        <v>8</v>
      </c>
      <c r="F416">
        <v>1</v>
      </c>
      <c r="G416">
        <f>COUNTIF(E:E,E416)</f>
        <v>110</v>
      </c>
      <c r="H416">
        <f>COUNTIFS(E:E,E416,A:A,A416,D:D,D416)</f>
        <v>1</v>
      </c>
      <c r="I416" t="e">
        <f>SUMIF([1]Mapeamento!$J:$J,A416,[1]Mapeamento!$L:$L)</f>
        <v>#VALUE!</v>
      </c>
      <c r="J416" s="1" t="e">
        <f>SUMIF('[1]Map_Meso-Ox'!$C:$C,A416,'[1]Map_Meso-Ox'!$D:$D)</f>
        <v>#VALUE!</v>
      </c>
      <c r="K416" s="2" t="e">
        <f t="shared" si="12"/>
        <v>#VALUE!</v>
      </c>
      <c r="L416" s="1" t="e">
        <f>SUMIF('[1]Map_Meso-Ox'!$C:$C,A416,'[1]Map_Meso-Ox'!$E:$E)</f>
        <v>#VALUE!</v>
      </c>
      <c r="M416" s="2" t="e">
        <f t="shared" si="13"/>
        <v>#VALUE!</v>
      </c>
    </row>
    <row r="417" spans="1:13" x14ac:dyDescent="0.25">
      <c r="A417">
        <v>86</v>
      </c>
      <c r="B417">
        <v>-1</v>
      </c>
      <c r="C417">
        <v>66.117999999999995</v>
      </c>
      <c r="D417">
        <v>0</v>
      </c>
      <c r="E417" t="s">
        <v>8</v>
      </c>
      <c r="F417">
        <v>1</v>
      </c>
      <c r="G417">
        <f>COUNTIF(E:E,E417)</f>
        <v>110</v>
      </c>
      <c r="H417">
        <f>COUNTIFS(E:E,E417,A:A,A417,D:D,D417)</f>
        <v>1</v>
      </c>
      <c r="I417" t="e">
        <f>SUMIF([1]Mapeamento!$J:$J,A417,[1]Mapeamento!$L:$L)</f>
        <v>#VALUE!</v>
      </c>
      <c r="J417" s="1" t="e">
        <f>SUMIF('[1]Map_Meso-Ox'!$C:$C,A417,'[1]Map_Meso-Ox'!$D:$D)</f>
        <v>#VALUE!</v>
      </c>
      <c r="K417" s="2" t="e">
        <f t="shared" si="12"/>
        <v>#VALUE!</v>
      </c>
      <c r="L417" s="1" t="e">
        <f>SUMIF('[1]Map_Meso-Ox'!$C:$C,A417,'[1]Map_Meso-Ox'!$E:$E)</f>
        <v>#VALUE!</v>
      </c>
      <c r="M417" s="2" t="e">
        <f t="shared" si="13"/>
        <v>#VALUE!</v>
      </c>
    </row>
    <row r="418" spans="1:13" x14ac:dyDescent="0.25">
      <c r="A418">
        <v>87</v>
      </c>
      <c r="B418">
        <v>-1</v>
      </c>
      <c r="C418">
        <v>53.177999999999997</v>
      </c>
      <c r="D418">
        <v>5.0299999999999997E-2</v>
      </c>
      <c r="E418" t="s">
        <v>8</v>
      </c>
      <c r="F418">
        <v>0</v>
      </c>
      <c r="G418">
        <f>COUNTIF(E:E,E418)</f>
        <v>110</v>
      </c>
      <c r="H418">
        <f>COUNTIFS(E:E,E418,A:A,A418,D:D,D418)</f>
        <v>1</v>
      </c>
      <c r="I418" t="e">
        <f>SUMIF([1]Mapeamento!$J:$J,A418,[1]Mapeamento!$L:$L)</f>
        <v>#VALUE!</v>
      </c>
      <c r="J418" s="1" t="e">
        <f>SUMIF('[1]Map_Meso-Ox'!$C:$C,A418,'[1]Map_Meso-Ox'!$D:$D)</f>
        <v>#VALUE!</v>
      </c>
      <c r="K418" s="2" t="e">
        <f t="shared" si="12"/>
        <v>#VALUE!</v>
      </c>
      <c r="L418" s="1" t="e">
        <f>SUMIF('[1]Map_Meso-Ox'!$C:$C,A418,'[1]Map_Meso-Ox'!$E:$E)</f>
        <v>#VALUE!</v>
      </c>
      <c r="M418" s="2" t="e">
        <f t="shared" si="13"/>
        <v>#VALUE!</v>
      </c>
    </row>
    <row r="419" spans="1:13" x14ac:dyDescent="0.25">
      <c r="A419">
        <v>88</v>
      </c>
      <c r="B419">
        <v>-1</v>
      </c>
      <c r="C419">
        <v>48.332999999999998</v>
      </c>
      <c r="D419">
        <v>1.5100000000000001E-2</v>
      </c>
      <c r="E419" t="s">
        <v>8</v>
      </c>
      <c r="F419">
        <v>0</v>
      </c>
      <c r="G419">
        <f>COUNTIF(E:E,E419)</f>
        <v>110</v>
      </c>
      <c r="H419">
        <f>COUNTIFS(E:E,E419,A:A,A419,D:D,D419)</f>
        <v>1</v>
      </c>
      <c r="I419" t="e">
        <f>SUMIF([1]Mapeamento!$J:$J,A419,[1]Mapeamento!$L:$L)</f>
        <v>#VALUE!</v>
      </c>
      <c r="J419" s="1" t="e">
        <f>SUMIF('[1]Map_Meso-Ox'!$C:$C,A419,'[1]Map_Meso-Ox'!$D:$D)</f>
        <v>#VALUE!</v>
      </c>
      <c r="K419" s="2" t="e">
        <f t="shared" si="12"/>
        <v>#VALUE!</v>
      </c>
      <c r="L419" s="1" t="e">
        <f>SUMIF('[1]Map_Meso-Ox'!$C:$C,A419,'[1]Map_Meso-Ox'!$E:$E)</f>
        <v>#VALUE!</v>
      </c>
      <c r="M419" s="2" t="e">
        <f t="shared" si="13"/>
        <v>#VALUE!</v>
      </c>
    </row>
    <row r="420" spans="1:13" x14ac:dyDescent="0.25">
      <c r="A420">
        <v>89</v>
      </c>
      <c r="B420">
        <v>-1</v>
      </c>
      <c r="C420">
        <v>65.370999999999995</v>
      </c>
      <c r="D420">
        <v>1.01E-2</v>
      </c>
      <c r="E420" t="s">
        <v>8</v>
      </c>
      <c r="F420">
        <v>0</v>
      </c>
      <c r="G420">
        <f>COUNTIF(E:E,E420)</f>
        <v>110</v>
      </c>
      <c r="H420">
        <f>COUNTIFS(E:E,E420,A:A,A420,D:D,D420)</f>
        <v>1</v>
      </c>
      <c r="I420" t="e">
        <f>SUMIF([1]Mapeamento!$J:$J,A420,[1]Mapeamento!$L:$L)</f>
        <v>#VALUE!</v>
      </c>
      <c r="J420" s="1" t="e">
        <f>SUMIF('[1]Map_Meso-Ox'!$C:$C,A420,'[1]Map_Meso-Ox'!$D:$D)</f>
        <v>#VALUE!</v>
      </c>
      <c r="K420" s="2" t="e">
        <f t="shared" si="12"/>
        <v>#VALUE!</v>
      </c>
      <c r="L420" s="1" t="e">
        <f>SUMIF('[1]Map_Meso-Ox'!$C:$C,A420,'[1]Map_Meso-Ox'!$E:$E)</f>
        <v>#VALUE!</v>
      </c>
      <c r="M420" s="2" t="e">
        <f t="shared" si="13"/>
        <v>#VALUE!</v>
      </c>
    </row>
    <row r="421" spans="1:13" x14ac:dyDescent="0.25">
      <c r="A421">
        <v>90</v>
      </c>
      <c r="B421">
        <v>-1</v>
      </c>
      <c r="C421">
        <v>81.370999999999995</v>
      </c>
      <c r="D421">
        <v>0</v>
      </c>
      <c r="E421" t="s">
        <v>8</v>
      </c>
      <c r="F421">
        <v>1</v>
      </c>
      <c r="G421">
        <f>COUNTIF(E:E,E421)</f>
        <v>110</v>
      </c>
      <c r="H421">
        <f>COUNTIFS(E:E,E421,A:A,A421,D:D,D421)</f>
        <v>1</v>
      </c>
      <c r="I421" t="e">
        <f>SUMIF([1]Mapeamento!$J:$J,A421,[1]Mapeamento!$L:$L)</f>
        <v>#VALUE!</v>
      </c>
      <c r="J421" s="1" t="e">
        <f>SUMIF('[1]Map_Meso-Ox'!$C:$C,A421,'[1]Map_Meso-Ox'!$D:$D)</f>
        <v>#VALUE!</v>
      </c>
      <c r="K421" s="2" t="e">
        <f t="shared" si="12"/>
        <v>#VALUE!</v>
      </c>
      <c r="L421" s="1" t="e">
        <f>SUMIF('[1]Map_Meso-Ox'!$C:$C,A421,'[1]Map_Meso-Ox'!$E:$E)</f>
        <v>#VALUE!</v>
      </c>
      <c r="M421" s="2" t="e">
        <f t="shared" si="13"/>
        <v>#VALUE!</v>
      </c>
    </row>
    <row r="422" spans="1:13" x14ac:dyDescent="0.25">
      <c r="A422">
        <v>91</v>
      </c>
      <c r="B422">
        <v>-1</v>
      </c>
      <c r="C422">
        <v>76.191000000000003</v>
      </c>
      <c r="D422">
        <v>0</v>
      </c>
      <c r="E422" t="s">
        <v>8</v>
      </c>
      <c r="F422">
        <v>2</v>
      </c>
      <c r="G422">
        <f>COUNTIF(E:E,E422)</f>
        <v>110</v>
      </c>
      <c r="H422">
        <f>COUNTIFS(E:E,E422,A:A,A422,D:D,D422)</f>
        <v>1</v>
      </c>
      <c r="I422" t="e">
        <f>SUMIF([1]Mapeamento!$J:$J,A422,[1]Mapeamento!$L:$L)</f>
        <v>#VALUE!</v>
      </c>
      <c r="J422" s="1" t="e">
        <f>SUMIF('[1]Map_Meso-Ox'!$C:$C,A422,'[1]Map_Meso-Ox'!$D:$D)</f>
        <v>#VALUE!</v>
      </c>
      <c r="K422" s="2" t="e">
        <f t="shared" si="12"/>
        <v>#VALUE!</v>
      </c>
      <c r="L422" s="1" t="e">
        <f>SUMIF('[1]Map_Meso-Ox'!$C:$C,A422,'[1]Map_Meso-Ox'!$E:$E)</f>
        <v>#VALUE!</v>
      </c>
      <c r="M422" s="2" t="e">
        <f t="shared" si="13"/>
        <v>#VALUE!</v>
      </c>
    </row>
    <row r="423" spans="1:13" x14ac:dyDescent="0.25">
      <c r="A423">
        <v>92</v>
      </c>
      <c r="B423">
        <v>-1</v>
      </c>
      <c r="C423">
        <v>57.86</v>
      </c>
      <c r="D423">
        <v>0</v>
      </c>
      <c r="E423" t="s">
        <v>8</v>
      </c>
      <c r="F423">
        <v>0</v>
      </c>
      <c r="G423">
        <f>COUNTIF(E:E,E423)</f>
        <v>110</v>
      </c>
      <c r="H423">
        <f>COUNTIFS(E:E,E423,A:A,A423,D:D,D423)</f>
        <v>1</v>
      </c>
      <c r="I423" t="e">
        <f>SUMIF([1]Mapeamento!$J:$J,A423,[1]Mapeamento!$L:$L)</f>
        <v>#VALUE!</v>
      </c>
      <c r="J423" s="1" t="e">
        <f>SUMIF('[1]Map_Meso-Ox'!$C:$C,A423,'[1]Map_Meso-Ox'!$D:$D)</f>
        <v>#VALUE!</v>
      </c>
      <c r="K423" s="2" t="e">
        <f t="shared" si="12"/>
        <v>#VALUE!</v>
      </c>
      <c r="L423" s="1" t="e">
        <f>SUMIF('[1]Map_Meso-Ox'!$C:$C,A423,'[1]Map_Meso-Ox'!$E:$E)</f>
        <v>#VALUE!</v>
      </c>
      <c r="M423" s="2" t="e">
        <f t="shared" si="13"/>
        <v>#VALUE!</v>
      </c>
    </row>
    <row r="424" spans="1:13" x14ac:dyDescent="0.25">
      <c r="A424">
        <v>93</v>
      </c>
      <c r="B424">
        <v>-1</v>
      </c>
      <c r="C424">
        <v>53.000999999999998</v>
      </c>
      <c r="D424">
        <v>6.0299999999999999E-2</v>
      </c>
      <c r="E424" t="s">
        <v>8</v>
      </c>
      <c r="F424">
        <v>0</v>
      </c>
      <c r="G424">
        <f>COUNTIF(E:E,E424)</f>
        <v>110</v>
      </c>
      <c r="H424">
        <f>COUNTIFS(E:E,E424,A:A,A424,D:D,D424)</f>
        <v>1</v>
      </c>
      <c r="I424" t="e">
        <f>SUMIF([1]Mapeamento!$J:$J,A424,[1]Mapeamento!$L:$L)</f>
        <v>#VALUE!</v>
      </c>
      <c r="J424" s="1" t="e">
        <f>SUMIF('[1]Map_Meso-Ox'!$C:$C,A424,'[1]Map_Meso-Ox'!$D:$D)</f>
        <v>#VALUE!</v>
      </c>
      <c r="K424" s="2" t="e">
        <f t="shared" si="12"/>
        <v>#VALUE!</v>
      </c>
      <c r="L424" s="1" t="e">
        <f>SUMIF('[1]Map_Meso-Ox'!$C:$C,A424,'[1]Map_Meso-Ox'!$E:$E)</f>
        <v>#VALUE!</v>
      </c>
      <c r="M424" s="2" t="e">
        <f t="shared" si="13"/>
        <v>#VALUE!</v>
      </c>
    </row>
    <row r="425" spans="1:13" x14ac:dyDescent="0.25">
      <c r="A425">
        <v>94</v>
      </c>
      <c r="B425">
        <v>-1</v>
      </c>
      <c r="C425">
        <v>72.427000000000007</v>
      </c>
      <c r="D425">
        <v>0</v>
      </c>
      <c r="E425" t="s">
        <v>8</v>
      </c>
      <c r="F425">
        <v>2</v>
      </c>
      <c r="G425">
        <f>COUNTIF(E:E,E425)</f>
        <v>110</v>
      </c>
      <c r="H425">
        <f>COUNTIFS(E:E,E425,A:A,A425,D:D,D425)</f>
        <v>1</v>
      </c>
      <c r="I425" t="e">
        <f>SUMIF([1]Mapeamento!$J:$J,A425,[1]Mapeamento!$L:$L)</f>
        <v>#VALUE!</v>
      </c>
      <c r="J425" s="1" t="e">
        <f>SUMIF('[1]Map_Meso-Ox'!$C:$C,A425,'[1]Map_Meso-Ox'!$D:$D)</f>
        <v>#VALUE!</v>
      </c>
      <c r="K425" s="2" t="e">
        <f t="shared" si="12"/>
        <v>#VALUE!</v>
      </c>
      <c r="L425" s="1" t="e">
        <f>SUMIF('[1]Map_Meso-Ox'!$C:$C,A425,'[1]Map_Meso-Ox'!$E:$E)</f>
        <v>#VALUE!</v>
      </c>
      <c r="M425" s="2" t="e">
        <f t="shared" si="13"/>
        <v>#VALUE!</v>
      </c>
    </row>
    <row r="426" spans="1:13" x14ac:dyDescent="0.25">
      <c r="A426">
        <v>95</v>
      </c>
      <c r="B426">
        <v>-1</v>
      </c>
      <c r="C426">
        <v>51.603000000000002</v>
      </c>
      <c r="D426">
        <v>4.02E-2</v>
      </c>
      <c r="E426" t="s">
        <v>8</v>
      </c>
      <c r="F426">
        <v>0</v>
      </c>
      <c r="G426">
        <f>COUNTIF(E:E,E426)</f>
        <v>110</v>
      </c>
      <c r="H426">
        <f>COUNTIFS(E:E,E426,A:A,A426,D:D,D426)</f>
        <v>1</v>
      </c>
      <c r="I426" t="e">
        <f>SUMIF([1]Mapeamento!$J:$J,A426,[1]Mapeamento!$L:$L)</f>
        <v>#VALUE!</v>
      </c>
      <c r="J426" s="1" t="e">
        <f>SUMIF('[1]Map_Meso-Ox'!$C:$C,A426,'[1]Map_Meso-Ox'!$D:$D)</f>
        <v>#VALUE!</v>
      </c>
      <c r="K426" s="2" t="e">
        <f t="shared" si="12"/>
        <v>#VALUE!</v>
      </c>
      <c r="L426" s="1" t="e">
        <f>SUMIF('[1]Map_Meso-Ox'!$C:$C,A426,'[1]Map_Meso-Ox'!$E:$E)</f>
        <v>#VALUE!</v>
      </c>
      <c r="M426" s="2" t="e">
        <f t="shared" si="13"/>
        <v>#VALUE!</v>
      </c>
    </row>
    <row r="427" spans="1:13" x14ac:dyDescent="0.25">
      <c r="A427">
        <v>96</v>
      </c>
      <c r="B427">
        <v>-1</v>
      </c>
      <c r="C427">
        <v>50.210999999999999</v>
      </c>
      <c r="D427">
        <v>6.0299999999999999E-2</v>
      </c>
      <c r="E427" t="s">
        <v>8</v>
      </c>
      <c r="F427">
        <v>0</v>
      </c>
      <c r="G427">
        <f>COUNTIF(E:E,E427)</f>
        <v>110</v>
      </c>
      <c r="H427">
        <f>COUNTIFS(E:E,E427,A:A,A427,D:D,D427)</f>
        <v>1</v>
      </c>
      <c r="I427" t="e">
        <f>SUMIF([1]Mapeamento!$J:$J,A427,[1]Mapeamento!$L:$L)</f>
        <v>#VALUE!</v>
      </c>
      <c r="J427" s="1" t="e">
        <f>SUMIF('[1]Map_Meso-Ox'!$C:$C,A427,'[1]Map_Meso-Ox'!$D:$D)</f>
        <v>#VALUE!</v>
      </c>
      <c r="K427" s="2" t="e">
        <f t="shared" si="12"/>
        <v>#VALUE!</v>
      </c>
      <c r="L427" s="1" t="e">
        <f>SUMIF('[1]Map_Meso-Ox'!$C:$C,A427,'[1]Map_Meso-Ox'!$E:$E)</f>
        <v>#VALUE!</v>
      </c>
      <c r="M427" s="2" t="e">
        <f t="shared" si="13"/>
        <v>#VALUE!</v>
      </c>
    </row>
    <row r="428" spans="1:13" x14ac:dyDescent="0.25">
      <c r="A428">
        <v>97</v>
      </c>
      <c r="B428">
        <v>-1</v>
      </c>
      <c r="C428">
        <v>58.671999999999997</v>
      </c>
      <c r="D428">
        <v>5.0000000000000001E-3</v>
      </c>
      <c r="E428" t="s">
        <v>8</v>
      </c>
      <c r="F428">
        <v>1</v>
      </c>
      <c r="G428">
        <f>COUNTIF(E:E,E428)</f>
        <v>110</v>
      </c>
      <c r="H428">
        <f>COUNTIFS(E:E,E428,A:A,A428,D:D,D428)</f>
        <v>1</v>
      </c>
      <c r="I428" t="e">
        <f>SUMIF([1]Mapeamento!$J:$J,A428,[1]Mapeamento!$L:$L)</f>
        <v>#VALUE!</v>
      </c>
      <c r="J428" s="1" t="e">
        <f>SUMIF('[1]Map_Meso-Ox'!$C:$C,A428,'[1]Map_Meso-Ox'!$D:$D)</f>
        <v>#VALUE!</v>
      </c>
      <c r="K428" s="2" t="e">
        <f t="shared" si="12"/>
        <v>#VALUE!</v>
      </c>
      <c r="L428" s="1" t="e">
        <f>SUMIF('[1]Map_Meso-Ox'!$C:$C,A428,'[1]Map_Meso-Ox'!$E:$E)</f>
        <v>#VALUE!</v>
      </c>
      <c r="M428" s="2" t="e">
        <f t="shared" si="13"/>
        <v>#VALUE!</v>
      </c>
    </row>
    <row r="429" spans="1:13" x14ac:dyDescent="0.25">
      <c r="A429">
        <v>98</v>
      </c>
      <c r="B429">
        <v>-1</v>
      </c>
      <c r="C429">
        <v>52.116999999999997</v>
      </c>
      <c r="D429">
        <v>3.5200000000000002E-2</v>
      </c>
      <c r="E429" t="s">
        <v>8</v>
      </c>
      <c r="F429">
        <v>0</v>
      </c>
      <c r="G429">
        <f>COUNTIF(E:E,E429)</f>
        <v>110</v>
      </c>
      <c r="H429">
        <f>COUNTIFS(E:E,E429,A:A,A429,D:D,D429)</f>
        <v>1</v>
      </c>
      <c r="I429" t="e">
        <f>SUMIF([1]Mapeamento!$J:$J,A429,[1]Mapeamento!$L:$L)</f>
        <v>#VALUE!</v>
      </c>
      <c r="J429" s="1" t="e">
        <f>SUMIF('[1]Map_Meso-Ox'!$C:$C,A429,'[1]Map_Meso-Ox'!$D:$D)</f>
        <v>#VALUE!</v>
      </c>
      <c r="K429" s="2" t="e">
        <f t="shared" si="12"/>
        <v>#VALUE!</v>
      </c>
      <c r="L429" s="1" t="e">
        <f>SUMIF('[1]Map_Meso-Ox'!$C:$C,A429,'[1]Map_Meso-Ox'!$E:$E)</f>
        <v>#VALUE!</v>
      </c>
      <c r="M429" s="2" t="e">
        <f t="shared" si="13"/>
        <v>#VALUE!</v>
      </c>
    </row>
    <row r="430" spans="1:13" x14ac:dyDescent="0.25">
      <c r="A430">
        <v>99</v>
      </c>
      <c r="B430">
        <v>-1</v>
      </c>
      <c r="C430">
        <v>58.817999999999998</v>
      </c>
      <c r="D430">
        <v>0</v>
      </c>
      <c r="E430" t="s">
        <v>8</v>
      </c>
      <c r="F430">
        <v>1</v>
      </c>
      <c r="G430">
        <f>COUNTIF(E:E,E430)</f>
        <v>110</v>
      </c>
      <c r="H430">
        <f>COUNTIFS(E:E,E430,A:A,A430,D:D,D430)</f>
        <v>1</v>
      </c>
      <c r="I430" t="e">
        <f>SUMIF([1]Mapeamento!$J:$J,A430,[1]Mapeamento!$L:$L)</f>
        <v>#VALUE!</v>
      </c>
      <c r="J430" s="1" t="e">
        <f>SUMIF('[1]Map_Meso-Ox'!$C:$C,A430,'[1]Map_Meso-Ox'!$D:$D)</f>
        <v>#VALUE!</v>
      </c>
      <c r="K430" s="2" t="e">
        <f t="shared" si="12"/>
        <v>#VALUE!</v>
      </c>
      <c r="L430" s="1" t="e">
        <f>SUMIF('[1]Map_Meso-Ox'!$C:$C,A430,'[1]Map_Meso-Ox'!$E:$E)</f>
        <v>#VALUE!</v>
      </c>
      <c r="M430" s="2" t="e">
        <f t="shared" si="13"/>
        <v>#VALUE!</v>
      </c>
    </row>
    <row r="431" spans="1:13" x14ac:dyDescent="0.25">
      <c r="A431">
        <v>100</v>
      </c>
      <c r="B431">
        <v>-1</v>
      </c>
      <c r="C431">
        <v>53.456000000000003</v>
      </c>
      <c r="D431">
        <v>5.0000000000000001E-3</v>
      </c>
      <c r="E431" t="s">
        <v>8</v>
      </c>
      <c r="F431">
        <v>2</v>
      </c>
      <c r="G431">
        <f>COUNTIF(E:E,E431)</f>
        <v>110</v>
      </c>
      <c r="H431">
        <f>COUNTIFS(E:E,E431,A:A,A431,D:D,D431)</f>
        <v>1</v>
      </c>
      <c r="I431" t="e">
        <f>SUMIF([1]Mapeamento!$J:$J,A431,[1]Mapeamento!$L:$L)</f>
        <v>#VALUE!</v>
      </c>
      <c r="J431" s="1" t="e">
        <f>SUMIF('[1]Map_Meso-Ox'!$C:$C,A431,'[1]Map_Meso-Ox'!$D:$D)</f>
        <v>#VALUE!</v>
      </c>
      <c r="K431" s="2" t="e">
        <f t="shared" si="12"/>
        <v>#VALUE!</v>
      </c>
      <c r="L431" s="1" t="e">
        <f>SUMIF('[1]Map_Meso-Ox'!$C:$C,A431,'[1]Map_Meso-Ox'!$E:$E)</f>
        <v>#VALUE!</v>
      </c>
      <c r="M431" s="2" t="e">
        <f t="shared" si="13"/>
        <v>#VALUE!</v>
      </c>
    </row>
    <row r="432" spans="1:13" x14ac:dyDescent="0.25">
      <c r="A432">
        <v>101</v>
      </c>
      <c r="B432">
        <v>-1</v>
      </c>
      <c r="C432">
        <v>74.658000000000001</v>
      </c>
      <c r="D432">
        <v>0</v>
      </c>
      <c r="E432" t="s">
        <v>8</v>
      </c>
      <c r="F432">
        <v>2</v>
      </c>
      <c r="G432">
        <f>COUNTIF(E:E,E432)</f>
        <v>110</v>
      </c>
      <c r="H432">
        <f>COUNTIFS(E:E,E432,A:A,A432,D:D,D432)</f>
        <v>1</v>
      </c>
      <c r="I432" t="e">
        <f>SUMIF([1]Mapeamento!$J:$J,A432,[1]Mapeamento!$L:$L)</f>
        <v>#VALUE!</v>
      </c>
      <c r="J432" s="1" t="e">
        <f>SUMIF('[1]Map_Meso-Ox'!$C:$C,A432,'[1]Map_Meso-Ox'!$D:$D)</f>
        <v>#VALUE!</v>
      </c>
      <c r="K432" s="2" t="e">
        <f t="shared" si="12"/>
        <v>#VALUE!</v>
      </c>
      <c r="L432" s="1" t="e">
        <f>SUMIF('[1]Map_Meso-Ox'!$C:$C,A432,'[1]Map_Meso-Ox'!$E:$E)</f>
        <v>#VALUE!</v>
      </c>
      <c r="M432" s="2" t="e">
        <f t="shared" si="13"/>
        <v>#VALUE!</v>
      </c>
    </row>
    <row r="433" spans="1:13" x14ac:dyDescent="0.25">
      <c r="A433">
        <v>102</v>
      </c>
      <c r="B433">
        <v>-1</v>
      </c>
      <c r="C433">
        <v>55.307000000000002</v>
      </c>
      <c r="D433">
        <v>1.01E-2</v>
      </c>
      <c r="E433" t="s">
        <v>8</v>
      </c>
      <c r="F433">
        <v>0</v>
      </c>
      <c r="G433">
        <f>COUNTIF(E:E,E433)</f>
        <v>110</v>
      </c>
      <c r="H433">
        <f>COUNTIFS(E:E,E433,A:A,A433,D:D,D433)</f>
        <v>1</v>
      </c>
      <c r="I433" t="e">
        <f>SUMIF([1]Mapeamento!$J:$J,A433,[1]Mapeamento!$L:$L)</f>
        <v>#VALUE!</v>
      </c>
      <c r="J433" s="1" t="e">
        <f>SUMIF('[1]Map_Meso-Ox'!$C:$C,A433,'[1]Map_Meso-Ox'!$D:$D)</f>
        <v>#VALUE!</v>
      </c>
      <c r="K433" s="2" t="e">
        <f t="shared" si="12"/>
        <v>#VALUE!</v>
      </c>
      <c r="L433" s="1" t="e">
        <f>SUMIF('[1]Map_Meso-Ox'!$C:$C,A433,'[1]Map_Meso-Ox'!$E:$E)</f>
        <v>#VALUE!</v>
      </c>
      <c r="M433" s="2" t="e">
        <f t="shared" si="13"/>
        <v>#VALUE!</v>
      </c>
    </row>
    <row r="434" spans="1:13" x14ac:dyDescent="0.25">
      <c r="A434">
        <v>103</v>
      </c>
      <c r="B434">
        <v>-1</v>
      </c>
      <c r="C434">
        <v>63.488999999999997</v>
      </c>
      <c r="D434">
        <v>0</v>
      </c>
      <c r="E434" t="s">
        <v>8</v>
      </c>
      <c r="F434">
        <v>1</v>
      </c>
      <c r="G434">
        <f>COUNTIF(E:E,E434)</f>
        <v>110</v>
      </c>
      <c r="H434">
        <f>COUNTIFS(E:E,E434,A:A,A434,D:D,D434)</f>
        <v>1</v>
      </c>
      <c r="I434" t="e">
        <f>SUMIF([1]Mapeamento!$J:$J,A434,[1]Mapeamento!$L:$L)</f>
        <v>#VALUE!</v>
      </c>
      <c r="J434" s="1" t="e">
        <f>SUMIF('[1]Map_Meso-Ox'!$C:$C,A434,'[1]Map_Meso-Ox'!$D:$D)</f>
        <v>#VALUE!</v>
      </c>
      <c r="K434" s="2" t="e">
        <f t="shared" si="12"/>
        <v>#VALUE!</v>
      </c>
      <c r="L434" s="1" t="e">
        <f>SUMIF('[1]Map_Meso-Ox'!$C:$C,A434,'[1]Map_Meso-Ox'!$E:$E)</f>
        <v>#VALUE!</v>
      </c>
      <c r="M434" s="2" t="e">
        <f t="shared" si="13"/>
        <v>#VALUE!</v>
      </c>
    </row>
    <row r="435" spans="1:13" x14ac:dyDescent="0.25">
      <c r="A435">
        <v>104</v>
      </c>
      <c r="B435">
        <v>-1</v>
      </c>
      <c r="C435">
        <v>57.62</v>
      </c>
      <c r="D435">
        <v>0</v>
      </c>
      <c r="E435" t="s">
        <v>8</v>
      </c>
      <c r="F435">
        <v>1</v>
      </c>
      <c r="G435">
        <f>COUNTIF(E:E,E435)</f>
        <v>110</v>
      </c>
      <c r="H435">
        <f>COUNTIFS(E:E,E435,A:A,A435,D:D,D435)</f>
        <v>1</v>
      </c>
      <c r="I435" t="e">
        <f>SUMIF([1]Mapeamento!$J:$J,A435,[1]Mapeamento!$L:$L)</f>
        <v>#VALUE!</v>
      </c>
      <c r="J435" s="1" t="e">
        <f>SUMIF('[1]Map_Meso-Ox'!$C:$C,A435,'[1]Map_Meso-Ox'!$D:$D)</f>
        <v>#VALUE!</v>
      </c>
      <c r="K435" s="2" t="e">
        <f t="shared" si="12"/>
        <v>#VALUE!</v>
      </c>
      <c r="L435" s="1" t="e">
        <f>SUMIF('[1]Map_Meso-Ox'!$C:$C,A435,'[1]Map_Meso-Ox'!$E:$E)</f>
        <v>#VALUE!</v>
      </c>
      <c r="M435" s="2" t="e">
        <f t="shared" si="13"/>
        <v>#VALUE!</v>
      </c>
    </row>
    <row r="436" spans="1:13" x14ac:dyDescent="0.25">
      <c r="A436">
        <v>105</v>
      </c>
      <c r="B436">
        <v>-1</v>
      </c>
      <c r="C436">
        <v>60.039000000000001</v>
      </c>
      <c r="D436">
        <v>0</v>
      </c>
      <c r="E436" t="s">
        <v>8</v>
      </c>
      <c r="F436">
        <v>2</v>
      </c>
      <c r="G436">
        <f>COUNTIF(E:E,E436)</f>
        <v>110</v>
      </c>
      <c r="H436">
        <f>COUNTIFS(E:E,E436,A:A,A436,D:D,D436)</f>
        <v>1</v>
      </c>
      <c r="I436" t="e">
        <f>SUMIF([1]Mapeamento!$J:$J,A436,[1]Mapeamento!$L:$L)</f>
        <v>#VALUE!</v>
      </c>
      <c r="J436" s="1" t="e">
        <f>SUMIF('[1]Map_Meso-Ox'!$C:$C,A436,'[1]Map_Meso-Ox'!$D:$D)</f>
        <v>#VALUE!</v>
      </c>
      <c r="K436" s="2" t="e">
        <f t="shared" si="12"/>
        <v>#VALUE!</v>
      </c>
      <c r="L436" s="1" t="e">
        <f>SUMIF('[1]Map_Meso-Ox'!$C:$C,A436,'[1]Map_Meso-Ox'!$E:$E)</f>
        <v>#VALUE!</v>
      </c>
      <c r="M436" s="2" t="e">
        <f t="shared" si="13"/>
        <v>#VALUE!</v>
      </c>
    </row>
    <row r="437" spans="1:13" x14ac:dyDescent="0.25">
      <c r="A437">
        <v>106</v>
      </c>
      <c r="B437">
        <v>-1</v>
      </c>
      <c r="C437">
        <v>60.942</v>
      </c>
      <c r="D437">
        <v>0</v>
      </c>
      <c r="E437" t="s">
        <v>8</v>
      </c>
      <c r="F437">
        <v>2</v>
      </c>
      <c r="G437">
        <f>COUNTIF(E:E,E437)</f>
        <v>110</v>
      </c>
      <c r="H437">
        <f>COUNTIFS(E:E,E437,A:A,A437,D:D,D437)</f>
        <v>1</v>
      </c>
      <c r="I437" t="e">
        <f>SUMIF([1]Mapeamento!$J:$J,A437,[1]Mapeamento!$L:$L)</f>
        <v>#VALUE!</v>
      </c>
      <c r="J437" s="1" t="e">
        <f>SUMIF('[1]Map_Meso-Ox'!$C:$C,A437,'[1]Map_Meso-Ox'!$D:$D)</f>
        <v>#VALUE!</v>
      </c>
      <c r="K437" s="2" t="e">
        <f t="shared" si="12"/>
        <v>#VALUE!</v>
      </c>
      <c r="L437" s="1" t="e">
        <f>SUMIF('[1]Map_Meso-Ox'!$C:$C,A437,'[1]Map_Meso-Ox'!$E:$E)</f>
        <v>#VALUE!</v>
      </c>
      <c r="M437" s="2" t="e">
        <f t="shared" si="13"/>
        <v>#VALUE!</v>
      </c>
    </row>
    <row r="438" spans="1:13" x14ac:dyDescent="0.25">
      <c r="A438">
        <v>107</v>
      </c>
      <c r="B438">
        <v>-1</v>
      </c>
      <c r="C438">
        <v>62.076000000000001</v>
      </c>
      <c r="D438">
        <v>5.0000000000000001E-3</v>
      </c>
      <c r="E438" t="s">
        <v>8</v>
      </c>
      <c r="F438">
        <v>1</v>
      </c>
      <c r="G438">
        <f>COUNTIF(E:E,E438)</f>
        <v>110</v>
      </c>
      <c r="H438">
        <f>COUNTIFS(E:E,E438,A:A,A438,D:D,D438)</f>
        <v>1</v>
      </c>
      <c r="I438" t="e">
        <f>SUMIF([1]Mapeamento!$J:$J,A438,[1]Mapeamento!$L:$L)</f>
        <v>#VALUE!</v>
      </c>
      <c r="J438" s="1" t="e">
        <f>SUMIF('[1]Map_Meso-Ox'!$C:$C,A438,'[1]Map_Meso-Ox'!$D:$D)</f>
        <v>#VALUE!</v>
      </c>
      <c r="K438" s="2" t="e">
        <f t="shared" si="12"/>
        <v>#VALUE!</v>
      </c>
      <c r="L438" s="1" t="e">
        <f>SUMIF('[1]Map_Meso-Ox'!$C:$C,A438,'[1]Map_Meso-Ox'!$E:$E)</f>
        <v>#VALUE!</v>
      </c>
      <c r="M438" s="2" t="e">
        <f t="shared" si="13"/>
        <v>#VALUE!</v>
      </c>
    </row>
    <row r="439" spans="1:13" x14ac:dyDescent="0.25">
      <c r="A439">
        <v>108</v>
      </c>
      <c r="B439">
        <v>-1</v>
      </c>
      <c r="C439">
        <v>61.387</v>
      </c>
      <c r="D439">
        <v>0</v>
      </c>
      <c r="E439" t="s">
        <v>8</v>
      </c>
      <c r="F439">
        <v>1</v>
      </c>
      <c r="G439">
        <f>COUNTIF(E:E,E439)</f>
        <v>110</v>
      </c>
      <c r="H439">
        <f>COUNTIFS(E:E,E439,A:A,A439,D:D,D439)</f>
        <v>1</v>
      </c>
      <c r="I439" t="e">
        <f>SUMIF([1]Mapeamento!$J:$J,A439,[1]Mapeamento!$L:$L)</f>
        <v>#VALUE!</v>
      </c>
      <c r="J439" s="1" t="e">
        <f>SUMIF('[1]Map_Meso-Ox'!$C:$C,A439,'[1]Map_Meso-Ox'!$D:$D)</f>
        <v>#VALUE!</v>
      </c>
      <c r="K439" s="2" t="e">
        <f t="shared" si="12"/>
        <v>#VALUE!</v>
      </c>
      <c r="L439" s="1" t="e">
        <f>SUMIF('[1]Map_Meso-Ox'!$C:$C,A439,'[1]Map_Meso-Ox'!$E:$E)</f>
        <v>#VALUE!</v>
      </c>
      <c r="M439" s="2" t="e">
        <f t="shared" si="13"/>
        <v>#VALUE!</v>
      </c>
    </row>
    <row r="440" spans="1:13" x14ac:dyDescent="0.25">
      <c r="A440">
        <v>109</v>
      </c>
      <c r="B440">
        <v>-1</v>
      </c>
      <c r="C440">
        <v>64.832999999999998</v>
      </c>
      <c r="D440">
        <v>0</v>
      </c>
      <c r="E440" t="s">
        <v>8</v>
      </c>
      <c r="F440">
        <v>1</v>
      </c>
      <c r="G440">
        <f>COUNTIF(E:E,E440)</f>
        <v>110</v>
      </c>
      <c r="H440">
        <f>COUNTIFS(E:E,E440,A:A,A440,D:D,D440)</f>
        <v>1</v>
      </c>
      <c r="I440" t="e">
        <f>SUMIF([1]Mapeamento!$J:$J,A440,[1]Mapeamento!$L:$L)</f>
        <v>#VALUE!</v>
      </c>
      <c r="J440" s="1" t="e">
        <f>SUMIF('[1]Map_Meso-Ox'!$C:$C,A440,'[1]Map_Meso-Ox'!$D:$D)</f>
        <v>#VALUE!</v>
      </c>
      <c r="K440" s="2" t="e">
        <f t="shared" si="12"/>
        <v>#VALUE!</v>
      </c>
      <c r="L440" s="1" t="e">
        <f>SUMIF('[1]Map_Meso-Ox'!$C:$C,A440,'[1]Map_Meso-Ox'!$E:$E)</f>
        <v>#VALUE!</v>
      </c>
      <c r="M440" s="2" t="e">
        <f t="shared" si="13"/>
        <v>#VALUE!</v>
      </c>
    </row>
    <row r="441" spans="1:13" x14ac:dyDescent="0.25">
      <c r="A441">
        <v>110</v>
      </c>
      <c r="B441">
        <v>-1</v>
      </c>
      <c r="C441">
        <v>66.710999999999999</v>
      </c>
      <c r="D441">
        <v>0</v>
      </c>
      <c r="E441" t="s">
        <v>8</v>
      </c>
      <c r="F441">
        <v>2</v>
      </c>
      <c r="G441">
        <f>COUNTIF(E:E,E441)</f>
        <v>110</v>
      </c>
      <c r="H441">
        <f>COUNTIFS(E:E,E441,A:A,A441,D:D,D441)</f>
        <v>1</v>
      </c>
      <c r="I441" t="e">
        <f>SUMIF([1]Mapeamento!$J:$J,A441,[1]Mapeamento!$L:$L)</f>
        <v>#VALUE!</v>
      </c>
      <c r="J441" s="1" t="e">
        <f>SUMIF('[1]Map_Meso-Ox'!$C:$C,A441,'[1]Map_Meso-Ox'!$D:$D)</f>
        <v>#VALUE!</v>
      </c>
      <c r="K441" s="2" t="e">
        <f t="shared" si="12"/>
        <v>#VALUE!</v>
      </c>
      <c r="L441" s="1" t="e">
        <f>SUMIF('[1]Map_Meso-Ox'!$C:$C,A441,'[1]Map_Meso-Ox'!$E:$E)</f>
        <v>#VALUE!</v>
      </c>
      <c r="M441" s="2" t="e">
        <f t="shared" si="13"/>
        <v>#VALUE!</v>
      </c>
    </row>
    <row r="442" spans="1:13" x14ac:dyDescent="0.25">
      <c r="A442">
        <v>1</v>
      </c>
      <c r="B442">
        <v>1</v>
      </c>
      <c r="C442">
        <v>13.378</v>
      </c>
      <c r="D442">
        <v>0.13569999999999999</v>
      </c>
      <c r="E442" t="s">
        <v>9</v>
      </c>
      <c r="F442">
        <v>2</v>
      </c>
      <c r="G442">
        <f>COUNTIF(E:E,E442)</f>
        <v>110</v>
      </c>
      <c r="H442">
        <f>COUNTIFS(E:E,E442,A:A,A442,D:D,D442)</f>
        <v>1</v>
      </c>
      <c r="I442" t="e">
        <f>SUMIF([1]Mapeamento!$J:$J,A442,[1]Mapeamento!$L:$L)</f>
        <v>#VALUE!</v>
      </c>
      <c r="J442" s="1" t="e">
        <f>SUMIF('[1]Map_Meso-Ox'!$C:$C,A442,'[1]Map_Meso-Ox'!$D:$D)</f>
        <v>#VALUE!</v>
      </c>
      <c r="K442" s="2" t="e">
        <f t="shared" si="12"/>
        <v>#VALUE!</v>
      </c>
      <c r="L442" s="1" t="e">
        <f>SUMIF('[1]Map_Meso-Ox'!$C:$C,A442,'[1]Map_Meso-Ox'!$E:$E)</f>
        <v>#VALUE!</v>
      </c>
      <c r="M442" s="2" t="e">
        <f t="shared" si="13"/>
        <v>#VALUE!</v>
      </c>
    </row>
    <row r="443" spans="1:13" x14ac:dyDescent="0.25">
      <c r="A443">
        <v>2</v>
      </c>
      <c r="B443">
        <v>1</v>
      </c>
      <c r="C443">
        <v>37.226999999999997</v>
      </c>
      <c r="D443">
        <v>0</v>
      </c>
      <c r="E443" t="s">
        <v>9</v>
      </c>
      <c r="F443">
        <v>2</v>
      </c>
      <c r="G443">
        <f>COUNTIF(E:E,E443)</f>
        <v>110</v>
      </c>
      <c r="H443">
        <f>COUNTIFS(E:E,E443,A:A,A443,D:D,D443)</f>
        <v>1</v>
      </c>
      <c r="I443" t="e">
        <f>SUMIF([1]Mapeamento!$J:$J,A443,[1]Mapeamento!$L:$L)</f>
        <v>#VALUE!</v>
      </c>
      <c r="J443" s="1" t="e">
        <f>SUMIF('[1]Map_Meso-Ox'!$C:$C,A443,'[1]Map_Meso-Ox'!$D:$D)</f>
        <v>#VALUE!</v>
      </c>
      <c r="K443" s="2" t="e">
        <f t="shared" si="12"/>
        <v>#VALUE!</v>
      </c>
      <c r="L443" s="1" t="e">
        <f>SUMIF('[1]Map_Meso-Ox'!$C:$C,A443,'[1]Map_Meso-Ox'!$E:$E)</f>
        <v>#VALUE!</v>
      </c>
      <c r="M443" s="2" t="e">
        <f t="shared" si="13"/>
        <v>#VALUE!</v>
      </c>
    </row>
    <row r="444" spans="1:13" x14ac:dyDescent="0.25">
      <c r="A444">
        <v>3</v>
      </c>
      <c r="B444">
        <v>1</v>
      </c>
      <c r="C444">
        <v>7.4684999999999997</v>
      </c>
      <c r="D444">
        <v>0.44719999999999999</v>
      </c>
      <c r="E444" t="s">
        <v>9</v>
      </c>
      <c r="F444">
        <v>1</v>
      </c>
      <c r="G444">
        <f>COUNTIF(E:E,E444)</f>
        <v>110</v>
      </c>
      <c r="H444">
        <f>COUNTIFS(E:E,E444,A:A,A444,D:D,D444)</f>
        <v>1</v>
      </c>
      <c r="I444" t="e">
        <f>SUMIF([1]Mapeamento!$J:$J,A444,[1]Mapeamento!$L:$L)</f>
        <v>#VALUE!</v>
      </c>
      <c r="J444" s="1" t="e">
        <f>SUMIF('[1]Map_Meso-Ox'!$C:$C,A444,'[1]Map_Meso-Ox'!$D:$D)</f>
        <v>#VALUE!</v>
      </c>
      <c r="K444" s="2" t="e">
        <f t="shared" si="12"/>
        <v>#VALUE!</v>
      </c>
      <c r="L444" s="1" t="e">
        <f>SUMIF('[1]Map_Meso-Ox'!$C:$C,A444,'[1]Map_Meso-Ox'!$E:$E)</f>
        <v>#VALUE!</v>
      </c>
      <c r="M444" s="2" t="e">
        <f t="shared" si="13"/>
        <v>#VALUE!</v>
      </c>
    </row>
    <row r="445" spans="1:13" x14ac:dyDescent="0.25">
      <c r="A445">
        <v>4</v>
      </c>
      <c r="B445">
        <v>1</v>
      </c>
      <c r="C445">
        <v>14.225</v>
      </c>
      <c r="D445">
        <v>6.0299999999999999E-2</v>
      </c>
      <c r="E445" t="s">
        <v>9</v>
      </c>
      <c r="F445">
        <v>1</v>
      </c>
      <c r="G445">
        <f>COUNTIF(E:E,E445)</f>
        <v>110</v>
      </c>
      <c r="H445">
        <f>COUNTIFS(E:E,E445,A:A,A445,D:D,D445)</f>
        <v>1</v>
      </c>
      <c r="I445" t="e">
        <f>SUMIF([1]Mapeamento!$J:$J,A445,[1]Mapeamento!$L:$L)</f>
        <v>#VALUE!</v>
      </c>
      <c r="J445" s="1" t="e">
        <f>SUMIF('[1]Map_Meso-Ox'!$C:$C,A445,'[1]Map_Meso-Ox'!$D:$D)</f>
        <v>#VALUE!</v>
      </c>
      <c r="K445" s="2" t="e">
        <f t="shared" si="12"/>
        <v>#VALUE!</v>
      </c>
      <c r="L445" s="1" t="e">
        <f>SUMIF('[1]Map_Meso-Ox'!$C:$C,A445,'[1]Map_Meso-Ox'!$E:$E)</f>
        <v>#VALUE!</v>
      </c>
      <c r="M445" s="2" t="e">
        <f t="shared" si="13"/>
        <v>#VALUE!</v>
      </c>
    </row>
    <row r="446" spans="1:13" x14ac:dyDescent="0.25">
      <c r="A446">
        <v>5</v>
      </c>
      <c r="B446">
        <v>1</v>
      </c>
      <c r="C446">
        <v>10.135</v>
      </c>
      <c r="D446">
        <v>0.43719999999999998</v>
      </c>
      <c r="E446" t="s">
        <v>9</v>
      </c>
      <c r="F446">
        <v>0</v>
      </c>
      <c r="G446">
        <f>COUNTIF(E:E,E446)</f>
        <v>110</v>
      </c>
      <c r="H446">
        <f>COUNTIFS(E:E,E446,A:A,A446,D:D,D446)</f>
        <v>1</v>
      </c>
      <c r="I446" t="e">
        <f>SUMIF([1]Mapeamento!$J:$J,A446,[1]Mapeamento!$L:$L)</f>
        <v>#VALUE!</v>
      </c>
      <c r="J446" s="1" t="e">
        <f>SUMIF('[1]Map_Meso-Ox'!$C:$C,A446,'[1]Map_Meso-Ox'!$D:$D)</f>
        <v>#VALUE!</v>
      </c>
      <c r="K446" s="2" t="e">
        <f t="shared" si="12"/>
        <v>#VALUE!</v>
      </c>
      <c r="L446" s="1" t="e">
        <f>SUMIF('[1]Map_Meso-Ox'!$C:$C,A446,'[1]Map_Meso-Ox'!$E:$E)</f>
        <v>#VALUE!</v>
      </c>
      <c r="M446" s="2" t="e">
        <f t="shared" si="13"/>
        <v>#VALUE!</v>
      </c>
    </row>
    <row r="447" spans="1:13" x14ac:dyDescent="0.25">
      <c r="A447">
        <v>6</v>
      </c>
      <c r="B447">
        <v>1</v>
      </c>
      <c r="C447">
        <v>17.082999999999998</v>
      </c>
      <c r="D447">
        <v>0.10050000000000001</v>
      </c>
      <c r="E447" t="s">
        <v>9</v>
      </c>
      <c r="F447">
        <v>1</v>
      </c>
      <c r="G447">
        <f>COUNTIF(E:E,E447)</f>
        <v>110</v>
      </c>
      <c r="H447">
        <f>COUNTIFS(E:E,E447,A:A,A447,D:D,D447)</f>
        <v>1</v>
      </c>
      <c r="I447" t="e">
        <f>SUMIF([1]Mapeamento!$J:$J,A447,[1]Mapeamento!$L:$L)</f>
        <v>#VALUE!</v>
      </c>
      <c r="J447" s="1" t="e">
        <f>SUMIF('[1]Map_Meso-Ox'!$C:$C,A447,'[1]Map_Meso-Ox'!$D:$D)</f>
        <v>#VALUE!</v>
      </c>
      <c r="K447" s="2" t="e">
        <f t="shared" si="12"/>
        <v>#VALUE!</v>
      </c>
      <c r="L447" s="1" t="e">
        <f>SUMIF('[1]Map_Meso-Ox'!$C:$C,A447,'[1]Map_Meso-Ox'!$E:$E)</f>
        <v>#VALUE!</v>
      </c>
      <c r="M447" s="2" t="e">
        <f t="shared" si="13"/>
        <v>#VALUE!</v>
      </c>
    </row>
    <row r="448" spans="1:13" x14ac:dyDescent="0.25">
      <c r="A448">
        <v>7</v>
      </c>
      <c r="B448">
        <v>1</v>
      </c>
      <c r="C448">
        <v>14.135</v>
      </c>
      <c r="D448">
        <v>0.2412</v>
      </c>
      <c r="E448" t="s">
        <v>9</v>
      </c>
      <c r="F448">
        <v>1</v>
      </c>
      <c r="G448">
        <f>COUNTIF(E:E,E448)</f>
        <v>110</v>
      </c>
      <c r="H448">
        <f>COUNTIFS(E:E,E448,A:A,A448,D:D,D448)</f>
        <v>1</v>
      </c>
      <c r="I448" t="e">
        <f>SUMIF([1]Mapeamento!$J:$J,A448,[1]Mapeamento!$L:$L)</f>
        <v>#VALUE!</v>
      </c>
      <c r="J448" s="1" t="e">
        <f>SUMIF('[1]Map_Meso-Ox'!$C:$C,A448,'[1]Map_Meso-Ox'!$D:$D)</f>
        <v>#VALUE!</v>
      </c>
      <c r="K448" s="2" t="e">
        <f t="shared" si="12"/>
        <v>#VALUE!</v>
      </c>
      <c r="L448" s="1" t="e">
        <f>SUMIF('[1]Map_Meso-Ox'!$C:$C,A448,'[1]Map_Meso-Ox'!$E:$E)</f>
        <v>#VALUE!</v>
      </c>
      <c r="M448" s="2" t="e">
        <f t="shared" si="13"/>
        <v>#VALUE!</v>
      </c>
    </row>
    <row r="449" spans="1:13" x14ac:dyDescent="0.25">
      <c r="A449">
        <v>8</v>
      </c>
      <c r="B449">
        <v>1</v>
      </c>
      <c r="C449">
        <v>15.973000000000001</v>
      </c>
      <c r="D449">
        <v>0.19600000000000001</v>
      </c>
      <c r="E449" t="s">
        <v>9</v>
      </c>
      <c r="F449">
        <v>0</v>
      </c>
      <c r="G449">
        <f>COUNTIF(E:E,E449)</f>
        <v>110</v>
      </c>
      <c r="H449">
        <f>COUNTIFS(E:E,E449,A:A,A449,D:D,D449)</f>
        <v>1</v>
      </c>
      <c r="I449" t="e">
        <f>SUMIF([1]Mapeamento!$J:$J,A449,[1]Mapeamento!$L:$L)</f>
        <v>#VALUE!</v>
      </c>
      <c r="J449" s="1" t="e">
        <f>SUMIF('[1]Map_Meso-Ox'!$C:$C,A449,'[1]Map_Meso-Ox'!$D:$D)</f>
        <v>#VALUE!</v>
      </c>
      <c r="K449" s="2" t="e">
        <f t="shared" si="12"/>
        <v>#VALUE!</v>
      </c>
      <c r="L449" s="1" t="e">
        <f>SUMIF('[1]Map_Meso-Ox'!$C:$C,A449,'[1]Map_Meso-Ox'!$E:$E)</f>
        <v>#VALUE!</v>
      </c>
      <c r="M449" s="2" t="e">
        <f t="shared" si="13"/>
        <v>#VALUE!</v>
      </c>
    </row>
    <row r="450" spans="1:13" x14ac:dyDescent="0.25">
      <c r="A450">
        <v>9</v>
      </c>
      <c r="B450">
        <v>1</v>
      </c>
      <c r="C450">
        <v>9.7163000000000004</v>
      </c>
      <c r="D450">
        <v>0.39200000000000002</v>
      </c>
      <c r="E450" t="s">
        <v>9</v>
      </c>
      <c r="F450">
        <v>0</v>
      </c>
      <c r="G450">
        <f>COUNTIF(E:E,E450)</f>
        <v>110</v>
      </c>
      <c r="H450">
        <f>COUNTIFS(E:E,E450,A:A,A450,D:D,D450)</f>
        <v>1</v>
      </c>
      <c r="I450" t="e">
        <f>SUMIF([1]Mapeamento!$J:$J,A450,[1]Mapeamento!$L:$L)</f>
        <v>#VALUE!</v>
      </c>
      <c r="J450" s="1" t="e">
        <f>SUMIF('[1]Map_Meso-Ox'!$C:$C,A450,'[1]Map_Meso-Ox'!$D:$D)</f>
        <v>#VALUE!</v>
      </c>
      <c r="K450" s="2" t="e">
        <f t="shared" si="12"/>
        <v>#VALUE!</v>
      </c>
      <c r="L450" s="1" t="e">
        <f>SUMIF('[1]Map_Meso-Ox'!$C:$C,A450,'[1]Map_Meso-Ox'!$E:$E)</f>
        <v>#VALUE!</v>
      </c>
      <c r="M450" s="2" t="e">
        <f t="shared" si="13"/>
        <v>#VALUE!</v>
      </c>
    </row>
    <row r="451" spans="1:13" x14ac:dyDescent="0.25">
      <c r="A451">
        <v>10</v>
      </c>
      <c r="B451">
        <v>1</v>
      </c>
      <c r="C451">
        <v>12.657</v>
      </c>
      <c r="D451">
        <v>0.11559999999999999</v>
      </c>
      <c r="E451" t="s">
        <v>9</v>
      </c>
      <c r="F451">
        <v>0</v>
      </c>
      <c r="G451">
        <f>COUNTIF(E:E,E451)</f>
        <v>110</v>
      </c>
      <c r="H451">
        <f>COUNTIFS(E:E,E451,A:A,A451,D:D,D451)</f>
        <v>1</v>
      </c>
      <c r="I451" t="e">
        <f>SUMIF([1]Mapeamento!$J:$J,A451,[1]Mapeamento!$L:$L)</f>
        <v>#VALUE!</v>
      </c>
      <c r="J451" s="1" t="e">
        <f>SUMIF('[1]Map_Meso-Ox'!$C:$C,A451,'[1]Map_Meso-Ox'!$D:$D)</f>
        <v>#VALUE!</v>
      </c>
      <c r="K451" s="2" t="e">
        <f t="shared" ref="K451:K514" si="14">J451/203401269</f>
        <v>#VALUE!</v>
      </c>
      <c r="L451" s="1" t="e">
        <f>SUMIF('[1]Map_Meso-Ox'!$C:$C,A451,'[1]Map_Meso-Ox'!$E:$E)</f>
        <v>#VALUE!</v>
      </c>
      <c r="M451" s="2" t="e">
        <f t="shared" ref="M451:M514" si="15">L451/3868725997.715</f>
        <v>#VALUE!</v>
      </c>
    </row>
    <row r="452" spans="1:13" x14ac:dyDescent="0.25">
      <c r="A452">
        <v>11</v>
      </c>
      <c r="B452">
        <v>1</v>
      </c>
      <c r="C452">
        <v>10.101000000000001</v>
      </c>
      <c r="D452">
        <v>0.42209999999999998</v>
      </c>
      <c r="E452" t="s">
        <v>9</v>
      </c>
      <c r="F452">
        <v>0</v>
      </c>
      <c r="G452">
        <f>COUNTIF(E:E,E452)</f>
        <v>110</v>
      </c>
      <c r="H452">
        <f>COUNTIFS(E:E,E452,A:A,A452,D:D,D452)</f>
        <v>1</v>
      </c>
      <c r="I452" t="e">
        <f>SUMIF([1]Mapeamento!$J:$J,A452,[1]Mapeamento!$L:$L)</f>
        <v>#VALUE!</v>
      </c>
      <c r="J452" s="1" t="e">
        <f>SUMIF('[1]Map_Meso-Ox'!$C:$C,A452,'[1]Map_Meso-Ox'!$D:$D)</f>
        <v>#VALUE!</v>
      </c>
      <c r="K452" s="2" t="e">
        <f t="shared" si="14"/>
        <v>#VALUE!</v>
      </c>
      <c r="L452" s="1" t="e">
        <f>SUMIF('[1]Map_Meso-Ox'!$C:$C,A452,'[1]Map_Meso-Ox'!$E:$E)</f>
        <v>#VALUE!</v>
      </c>
      <c r="M452" s="2" t="e">
        <f t="shared" si="15"/>
        <v>#VALUE!</v>
      </c>
    </row>
    <row r="453" spans="1:13" x14ac:dyDescent="0.25">
      <c r="A453">
        <v>12</v>
      </c>
      <c r="B453">
        <v>1</v>
      </c>
      <c r="C453">
        <v>23.792000000000002</v>
      </c>
      <c r="D453">
        <v>5.0299999999999997E-2</v>
      </c>
      <c r="E453" t="s">
        <v>9</v>
      </c>
      <c r="F453">
        <v>1</v>
      </c>
      <c r="G453">
        <f>COUNTIF(E:E,E453)</f>
        <v>110</v>
      </c>
      <c r="H453">
        <f>COUNTIFS(E:E,E453,A:A,A453,D:D,D453)</f>
        <v>1</v>
      </c>
      <c r="I453" t="e">
        <f>SUMIF([1]Mapeamento!$J:$J,A453,[1]Mapeamento!$L:$L)</f>
        <v>#VALUE!</v>
      </c>
      <c r="J453" s="1" t="e">
        <f>SUMIF('[1]Map_Meso-Ox'!$C:$C,A453,'[1]Map_Meso-Ox'!$D:$D)</f>
        <v>#VALUE!</v>
      </c>
      <c r="K453" s="2" t="e">
        <f t="shared" si="14"/>
        <v>#VALUE!</v>
      </c>
      <c r="L453" s="1" t="e">
        <f>SUMIF('[1]Map_Meso-Ox'!$C:$C,A453,'[1]Map_Meso-Ox'!$E:$E)</f>
        <v>#VALUE!</v>
      </c>
      <c r="M453" s="2" t="e">
        <f t="shared" si="15"/>
        <v>#VALUE!</v>
      </c>
    </row>
    <row r="454" spans="1:13" x14ac:dyDescent="0.25">
      <c r="A454">
        <v>13</v>
      </c>
      <c r="B454">
        <v>1</v>
      </c>
      <c r="C454">
        <v>23.044</v>
      </c>
      <c r="D454">
        <v>4.5199999999999997E-2</v>
      </c>
      <c r="E454" t="s">
        <v>9</v>
      </c>
      <c r="F454">
        <v>1</v>
      </c>
      <c r="G454">
        <f>COUNTIF(E:E,E454)</f>
        <v>110</v>
      </c>
      <c r="H454">
        <f>COUNTIFS(E:E,E454,A:A,A454,D:D,D454)</f>
        <v>1</v>
      </c>
      <c r="I454" t="e">
        <f>SUMIF([1]Mapeamento!$J:$J,A454,[1]Mapeamento!$L:$L)</f>
        <v>#VALUE!</v>
      </c>
      <c r="J454" s="1" t="e">
        <f>SUMIF('[1]Map_Meso-Ox'!$C:$C,A454,'[1]Map_Meso-Ox'!$D:$D)</f>
        <v>#VALUE!</v>
      </c>
      <c r="K454" s="2" t="e">
        <f t="shared" si="14"/>
        <v>#VALUE!</v>
      </c>
      <c r="L454" s="1" t="e">
        <f>SUMIF('[1]Map_Meso-Ox'!$C:$C,A454,'[1]Map_Meso-Ox'!$E:$E)</f>
        <v>#VALUE!</v>
      </c>
      <c r="M454" s="2" t="e">
        <f t="shared" si="15"/>
        <v>#VALUE!</v>
      </c>
    </row>
    <row r="455" spans="1:13" x14ac:dyDescent="0.25">
      <c r="A455">
        <v>14</v>
      </c>
      <c r="B455">
        <v>1</v>
      </c>
      <c r="C455">
        <v>36.125999999999998</v>
      </c>
      <c r="D455">
        <v>0</v>
      </c>
      <c r="E455" t="s">
        <v>9</v>
      </c>
      <c r="F455">
        <v>1</v>
      </c>
      <c r="G455">
        <f>COUNTIF(E:E,E455)</f>
        <v>110</v>
      </c>
      <c r="H455">
        <f>COUNTIFS(E:E,E455,A:A,A455,D:D,D455)</f>
        <v>1</v>
      </c>
      <c r="I455" t="e">
        <f>SUMIF([1]Mapeamento!$J:$J,A455,[1]Mapeamento!$L:$L)</f>
        <v>#VALUE!</v>
      </c>
      <c r="J455" s="1" t="e">
        <f>SUMIF('[1]Map_Meso-Ox'!$C:$C,A455,'[1]Map_Meso-Ox'!$D:$D)</f>
        <v>#VALUE!</v>
      </c>
      <c r="K455" s="2" t="e">
        <f t="shared" si="14"/>
        <v>#VALUE!</v>
      </c>
      <c r="L455" s="1" t="e">
        <f>SUMIF('[1]Map_Meso-Ox'!$C:$C,A455,'[1]Map_Meso-Ox'!$E:$E)</f>
        <v>#VALUE!</v>
      </c>
      <c r="M455" s="2" t="e">
        <f t="shared" si="15"/>
        <v>#VALUE!</v>
      </c>
    </row>
    <row r="456" spans="1:13" x14ac:dyDescent="0.25">
      <c r="A456">
        <v>15</v>
      </c>
      <c r="B456">
        <v>1</v>
      </c>
      <c r="C456">
        <v>16.940000000000001</v>
      </c>
      <c r="D456">
        <v>0.1759</v>
      </c>
      <c r="E456" t="s">
        <v>9</v>
      </c>
      <c r="F456">
        <v>0</v>
      </c>
      <c r="G456">
        <f>COUNTIF(E:E,E456)</f>
        <v>110</v>
      </c>
      <c r="H456">
        <f>COUNTIFS(E:E,E456,A:A,A456,D:D,D456)</f>
        <v>1</v>
      </c>
      <c r="I456" t="e">
        <f>SUMIF([1]Mapeamento!$J:$J,A456,[1]Mapeamento!$L:$L)</f>
        <v>#VALUE!</v>
      </c>
      <c r="J456" s="1" t="e">
        <f>SUMIF('[1]Map_Meso-Ox'!$C:$C,A456,'[1]Map_Meso-Ox'!$D:$D)</f>
        <v>#VALUE!</v>
      </c>
      <c r="K456" s="2" t="e">
        <f t="shared" si="14"/>
        <v>#VALUE!</v>
      </c>
      <c r="L456" s="1" t="e">
        <f>SUMIF('[1]Map_Meso-Ox'!$C:$C,A456,'[1]Map_Meso-Ox'!$E:$E)</f>
        <v>#VALUE!</v>
      </c>
      <c r="M456" s="2" t="e">
        <f t="shared" si="15"/>
        <v>#VALUE!</v>
      </c>
    </row>
    <row r="457" spans="1:13" x14ac:dyDescent="0.25">
      <c r="A457">
        <v>16</v>
      </c>
      <c r="B457">
        <v>1</v>
      </c>
      <c r="C457">
        <v>45.738999999999997</v>
      </c>
      <c r="D457">
        <v>0</v>
      </c>
      <c r="E457" t="s">
        <v>9</v>
      </c>
      <c r="F457">
        <v>1</v>
      </c>
      <c r="G457">
        <f>COUNTIF(E:E,E457)</f>
        <v>110</v>
      </c>
      <c r="H457">
        <f>COUNTIFS(E:E,E457,A:A,A457,D:D,D457)</f>
        <v>1</v>
      </c>
      <c r="I457" t="e">
        <f>SUMIF([1]Mapeamento!$J:$J,A457,[1]Mapeamento!$L:$L)</f>
        <v>#VALUE!</v>
      </c>
      <c r="J457" s="1" t="e">
        <f>SUMIF('[1]Map_Meso-Ox'!$C:$C,A457,'[1]Map_Meso-Ox'!$D:$D)</f>
        <v>#VALUE!</v>
      </c>
      <c r="K457" s="2" t="e">
        <f t="shared" si="14"/>
        <v>#VALUE!</v>
      </c>
      <c r="L457" s="1" t="e">
        <f>SUMIF('[1]Map_Meso-Ox'!$C:$C,A457,'[1]Map_Meso-Ox'!$E:$E)</f>
        <v>#VALUE!</v>
      </c>
      <c r="M457" s="2" t="e">
        <f t="shared" si="15"/>
        <v>#VALUE!</v>
      </c>
    </row>
    <row r="458" spans="1:13" x14ac:dyDescent="0.25">
      <c r="A458">
        <v>17</v>
      </c>
      <c r="B458">
        <v>1</v>
      </c>
      <c r="C458">
        <v>32.247</v>
      </c>
      <c r="D458">
        <v>1.01E-2</v>
      </c>
      <c r="E458" t="s">
        <v>9</v>
      </c>
      <c r="F458">
        <v>3</v>
      </c>
      <c r="G458">
        <f>COUNTIF(E:E,E458)</f>
        <v>110</v>
      </c>
      <c r="H458">
        <f>COUNTIFS(E:E,E458,A:A,A458,D:D,D458)</f>
        <v>1</v>
      </c>
      <c r="I458" t="e">
        <f>SUMIF([1]Mapeamento!$J:$J,A458,[1]Mapeamento!$L:$L)</f>
        <v>#VALUE!</v>
      </c>
      <c r="J458" s="1" t="e">
        <f>SUMIF('[1]Map_Meso-Ox'!$C:$C,A458,'[1]Map_Meso-Ox'!$D:$D)</f>
        <v>#VALUE!</v>
      </c>
      <c r="K458" s="2" t="e">
        <f t="shared" si="14"/>
        <v>#VALUE!</v>
      </c>
      <c r="L458" s="1" t="e">
        <f>SUMIF('[1]Map_Meso-Ox'!$C:$C,A458,'[1]Map_Meso-Ox'!$E:$E)</f>
        <v>#VALUE!</v>
      </c>
      <c r="M458" s="2" t="e">
        <f t="shared" si="15"/>
        <v>#VALUE!</v>
      </c>
    </row>
    <row r="459" spans="1:13" x14ac:dyDescent="0.25">
      <c r="A459">
        <v>18</v>
      </c>
      <c r="B459">
        <v>1</v>
      </c>
      <c r="C459">
        <v>15.321999999999999</v>
      </c>
      <c r="D459">
        <v>4.02E-2</v>
      </c>
      <c r="E459" t="s">
        <v>9</v>
      </c>
      <c r="F459">
        <v>3</v>
      </c>
      <c r="G459">
        <f>COUNTIF(E:E,E459)</f>
        <v>110</v>
      </c>
      <c r="H459">
        <f>COUNTIFS(E:E,E459,A:A,A459,D:D,D459)</f>
        <v>1</v>
      </c>
      <c r="I459" t="e">
        <f>SUMIF([1]Mapeamento!$J:$J,A459,[1]Mapeamento!$L:$L)</f>
        <v>#VALUE!</v>
      </c>
      <c r="J459" s="1" t="e">
        <f>SUMIF('[1]Map_Meso-Ox'!$C:$C,A459,'[1]Map_Meso-Ox'!$D:$D)</f>
        <v>#VALUE!</v>
      </c>
      <c r="K459" s="2" t="e">
        <f t="shared" si="14"/>
        <v>#VALUE!</v>
      </c>
      <c r="L459" s="1" t="e">
        <f>SUMIF('[1]Map_Meso-Ox'!$C:$C,A459,'[1]Map_Meso-Ox'!$E:$E)</f>
        <v>#VALUE!</v>
      </c>
      <c r="M459" s="2" t="e">
        <f t="shared" si="15"/>
        <v>#VALUE!</v>
      </c>
    </row>
    <row r="460" spans="1:13" x14ac:dyDescent="0.25">
      <c r="A460">
        <v>19</v>
      </c>
      <c r="B460">
        <v>1</v>
      </c>
      <c r="C460">
        <v>36.680999999999997</v>
      </c>
      <c r="D460">
        <v>5.0000000000000001E-3</v>
      </c>
      <c r="E460" t="s">
        <v>9</v>
      </c>
      <c r="F460">
        <v>2</v>
      </c>
      <c r="G460">
        <f>COUNTIF(E:E,E460)</f>
        <v>110</v>
      </c>
      <c r="H460">
        <f>COUNTIFS(E:E,E460,A:A,A460,D:D,D460)</f>
        <v>1</v>
      </c>
      <c r="I460" t="e">
        <f>SUMIF([1]Mapeamento!$J:$J,A460,[1]Mapeamento!$L:$L)</f>
        <v>#VALUE!</v>
      </c>
      <c r="J460" s="1" t="e">
        <f>SUMIF('[1]Map_Meso-Ox'!$C:$C,A460,'[1]Map_Meso-Ox'!$D:$D)</f>
        <v>#VALUE!</v>
      </c>
      <c r="K460" s="2" t="e">
        <f t="shared" si="14"/>
        <v>#VALUE!</v>
      </c>
      <c r="L460" s="1" t="e">
        <f>SUMIF('[1]Map_Meso-Ox'!$C:$C,A460,'[1]Map_Meso-Ox'!$E:$E)</f>
        <v>#VALUE!</v>
      </c>
      <c r="M460" s="2" t="e">
        <f t="shared" si="15"/>
        <v>#VALUE!</v>
      </c>
    </row>
    <row r="461" spans="1:13" x14ac:dyDescent="0.25">
      <c r="A461">
        <v>20</v>
      </c>
      <c r="B461">
        <v>1</v>
      </c>
      <c r="C461">
        <v>24.43</v>
      </c>
      <c r="D461">
        <v>4.02E-2</v>
      </c>
      <c r="E461" t="s">
        <v>9</v>
      </c>
      <c r="F461">
        <v>2</v>
      </c>
      <c r="G461">
        <f>COUNTIF(E:E,E461)</f>
        <v>110</v>
      </c>
      <c r="H461">
        <f>COUNTIFS(E:E,E461,A:A,A461,D:D,D461)</f>
        <v>1</v>
      </c>
      <c r="I461" t="e">
        <f>SUMIF([1]Mapeamento!$J:$J,A461,[1]Mapeamento!$L:$L)</f>
        <v>#VALUE!</v>
      </c>
      <c r="J461" s="1" t="e">
        <f>SUMIF('[1]Map_Meso-Ox'!$C:$C,A461,'[1]Map_Meso-Ox'!$D:$D)</f>
        <v>#VALUE!</v>
      </c>
      <c r="K461" s="2" t="e">
        <f t="shared" si="14"/>
        <v>#VALUE!</v>
      </c>
      <c r="L461" s="1" t="e">
        <f>SUMIF('[1]Map_Meso-Ox'!$C:$C,A461,'[1]Map_Meso-Ox'!$E:$E)</f>
        <v>#VALUE!</v>
      </c>
      <c r="M461" s="2" t="e">
        <f t="shared" si="15"/>
        <v>#VALUE!</v>
      </c>
    </row>
    <row r="462" spans="1:13" x14ac:dyDescent="0.25">
      <c r="A462">
        <v>21</v>
      </c>
      <c r="B462">
        <v>1</v>
      </c>
      <c r="C462">
        <v>37.121000000000002</v>
      </c>
      <c r="D462">
        <v>5.0000000000000001E-3</v>
      </c>
      <c r="E462" t="s">
        <v>9</v>
      </c>
      <c r="F462">
        <v>2</v>
      </c>
      <c r="G462">
        <f>COUNTIF(E:E,E462)</f>
        <v>110</v>
      </c>
      <c r="H462">
        <f>COUNTIFS(E:E,E462,A:A,A462,D:D,D462)</f>
        <v>1</v>
      </c>
      <c r="I462" t="e">
        <f>SUMIF([1]Mapeamento!$J:$J,A462,[1]Mapeamento!$L:$L)</f>
        <v>#VALUE!</v>
      </c>
      <c r="J462" s="1" t="e">
        <f>SUMIF('[1]Map_Meso-Ox'!$C:$C,A462,'[1]Map_Meso-Ox'!$D:$D)</f>
        <v>#VALUE!</v>
      </c>
      <c r="K462" s="2" t="e">
        <f t="shared" si="14"/>
        <v>#VALUE!</v>
      </c>
      <c r="L462" s="1" t="e">
        <f>SUMIF('[1]Map_Meso-Ox'!$C:$C,A462,'[1]Map_Meso-Ox'!$E:$E)</f>
        <v>#VALUE!</v>
      </c>
      <c r="M462" s="2" t="e">
        <f t="shared" si="15"/>
        <v>#VALUE!</v>
      </c>
    </row>
    <row r="463" spans="1:13" x14ac:dyDescent="0.25">
      <c r="A463">
        <v>22</v>
      </c>
      <c r="B463">
        <v>1</v>
      </c>
      <c r="C463">
        <v>31.193000000000001</v>
      </c>
      <c r="D463">
        <v>0</v>
      </c>
      <c r="E463" t="s">
        <v>9</v>
      </c>
      <c r="F463">
        <v>3</v>
      </c>
      <c r="G463">
        <f>COUNTIF(E:E,E463)</f>
        <v>110</v>
      </c>
      <c r="H463">
        <f>COUNTIFS(E:E,E463,A:A,A463,D:D,D463)</f>
        <v>1</v>
      </c>
      <c r="I463" t="e">
        <f>SUMIF([1]Mapeamento!$J:$J,A463,[1]Mapeamento!$L:$L)</f>
        <v>#VALUE!</v>
      </c>
      <c r="J463" s="1" t="e">
        <f>SUMIF('[1]Map_Meso-Ox'!$C:$C,A463,'[1]Map_Meso-Ox'!$D:$D)</f>
        <v>#VALUE!</v>
      </c>
      <c r="K463" s="2" t="e">
        <f t="shared" si="14"/>
        <v>#VALUE!</v>
      </c>
      <c r="L463" s="1" t="e">
        <f>SUMIF('[1]Map_Meso-Ox'!$C:$C,A463,'[1]Map_Meso-Ox'!$E:$E)</f>
        <v>#VALUE!</v>
      </c>
      <c r="M463" s="2" t="e">
        <f t="shared" si="15"/>
        <v>#VALUE!</v>
      </c>
    </row>
    <row r="464" spans="1:13" x14ac:dyDescent="0.25">
      <c r="A464">
        <v>23</v>
      </c>
      <c r="B464">
        <v>1</v>
      </c>
      <c r="C464">
        <v>21.774000000000001</v>
      </c>
      <c r="D464">
        <v>4.02E-2</v>
      </c>
      <c r="E464" t="s">
        <v>9</v>
      </c>
      <c r="F464">
        <v>1</v>
      </c>
      <c r="G464">
        <f>COUNTIF(E:E,E464)</f>
        <v>110</v>
      </c>
      <c r="H464">
        <f>COUNTIFS(E:E,E464,A:A,A464,D:D,D464)</f>
        <v>1</v>
      </c>
      <c r="I464" t="e">
        <f>SUMIF([1]Mapeamento!$J:$J,A464,[1]Mapeamento!$L:$L)</f>
        <v>#VALUE!</v>
      </c>
      <c r="J464" s="1" t="e">
        <f>SUMIF('[1]Map_Meso-Ox'!$C:$C,A464,'[1]Map_Meso-Ox'!$D:$D)</f>
        <v>#VALUE!</v>
      </c>
      <c r="K464" s="2" t="e">
        <f t="shared" si="14"/>
        <v>#VALUE!</v>
      </c>
      <c r="L464" s="1" t="e">
        <f>SUMIF('[1]Map_Meso-Ox'!$C:$C,A464,'[1]Map_Meso-Ox'!$E:$E)</f>
        <v>#VALUE!</v>
      </c>
      <c r="M464" s="2" t="e">
        <f t="shared" si="15"/>
        <v>#VALUE!</v>
      </c>
    </row>
    <row r="465" spans="1:13" x14ac:dyDescent="0.25">
      <c r="A465">
        <v>24</v>
      </c>
      <c r="B465">
        <v>1</v>
      </c>
      <c r="C465">
        <v>28.04</v>
      </c>
      <c r="D465">
        <v>3.0200000000000001E-2</v>
      </c>
      <c r="E465" t="s">
        <v>9</v>
      </c>
      <c r="F465">
        <v>1</v>
      </c>
      <c r="G465">
        <f>COUNTIF(E:E,E465)</f>
        <v>110</v>
      </c>
      <c r="H465">
        <f>COUNTIFS(E:E,E465,A:A,A465,D:D,D465)</f>
        <v>1</v>
      </c>
      <c r="I465" t="e">
        <f>SUMIF([1]Mapeamento!$J:$J,A465,[1]Mapeamento!$L:$L)</f>
        <v>#VALUE!</v>
      </c>
      <c r="J465" s="1" t="e">
        <f>SUMIF('[1]Map_Meso-Ox'!$C:$C,A465,'[1]Map_Meso-Ox'!$D:$D)</f>
        <v>#VALUE!</v>
      </c>
      <c r="K465" s="2" t="e">
        <f t="shared" si="14"/>
        <v>#VALUE!</v>
      </c>
      <c r="L465" s="1" t="e">
        <f>SUMIF('[1]Map_Meso-Ox'!$C:$C,A465,'[1]Map_Meso-Ox'!$E:$E)</f>
        <v>#VALUE!</v>
      </c>
      <c r="M465" s="2" t="e">
        <f t="shared" si="15"/>
        <v>#VALUE!</v>
      </c>
    </row>
    <row r="466" spans="1:13" x14ac:dyDescent="0.25">
      <c r="A466">
        <v>25</v>
      </c>
      <c r="B466">
        <v>1</v>
      </c>
      <c r="C466">
        <v>6.4386999999999999</v>
      </c>
      <c r="D466">
        <v>0.58789999999999998</v>
      </c>
      <c r="E466" t="s">
        <v>9</v>
      </c>
      <c r="F466">
        <v>1</v>
      </c>
      <c r="G466">
        <f>COUNTIF(E:E,E466)</f>
        <v>110</v>
      </c>
      <c r="H466">
        <f>COUNTIFS(E:E,E466,A:A,A466,D:D,D466)</f>
        <v>1</v>
      </c>
      <c r="I466" t="e">
        <f>SUMIF([1]Mapeamento!$J:$J,A466,[1]Mapeamento!$L:$L)</f>
        <v>#VALUE!</v>
      </c>
      <c r="J466" s="1" t="e">
        <f>SUMIF('[1]Map_Meso-Ox'!$C:$C,A466,'[1]Map_Meso-Ox'!$D:$D)</f>
        <v>#VALUE!</v>
      </c>
      <c r="K466" s="2" t="e">
        <f t="shared" si="14"/>
        <v>#VALUE!</v>
      </c>
      <c r="L466" s="1" t="e">
        <f>SUMIF('[1]Map_Meso-Ox'!$C:$C,A466,'[1]Map_Meso-Ox'!$E:$E)</f>
        <v>#VALUE!</v>
      </c>
      <c r="M466" s="2" t="e">
        <f t="shared" si="15"/>
        <v>#VALUE!</v>
      </c>
    </row>
    <row r="467" spans="1:13" x14ac:dyDescent="0.25">
      <c r="A467">
        <v>26</v>
      </c>
      <c r="B467">
        <v>1</v>
      </c>
      <c r="C467">
        <v>11.368</v>
      </c>
      <c r="D467">
        <v>0.25629999999999997</v>
      </c>
      <c r="E467" t="s">
        <v>9</v>
      </c>
      <c r="F467">
        <v>2</v>
      </c>
      <c r="G467">
        <f>COUNTIF(E:E,E467)</f>
        <v>110</v>
      </c>
      <c r="H467">
        <f>COUNTIFS(E:E,E467,A:A,A467,D:D,D467)</f>
        <v>1</v>
      </c>
      <c r="I467" t="e">
        <f>SUMIF([1]Mapeamento!$J:$J,A467,[1]Mapeamento!$L:$L)</f>
        <v>#VALUE!</v>
      </c>
      <c r="J467" s="1" t="e">
        <f>SUMIF('[1]Map_Meso-Ox'!$C:$C,A467,'[1]Map_Meso-Ox'!$D:$D)</f>
        <v>#VALUE!</v>
      </c>
      <c r="K467" s="2" t="e">
        <f t="shared" si="14"/>
        <v>#VALUE!</v>
      </c>
      <c r="L467" s="1" t="e">
        <f>SUMIF('[1]Map_Meso-Ox'!$C:$C,A467,'[1]Map_Meso-Ox'!$E:$E)</f>
        <v>#VALUE!</v>
      </c>
      <c r="M467" s="2" t="e">
        <f t="shared" si="15"/>
        <v>#VALUE!</v>
      </c>
    </row>
    <row r="468" spans="1:13" x14ac:dyDescent="0.25">
      <c r="A468">
        <v>27</v>
      </c>
      <c r="B468">
        <v>1</v>
      </c>
      <c r="C468">
        <v>9.3112999999999992</v>
      </c>
      <c r="D468">
        <v>0.49249999999999999</v>
      </c>
      <c r="E468" t="s">
        <v>9</v>
      </c>
      <c r="F468">
        <v>0</v>
      </c>
      <c r="G468">
        <f>COUNTIF(E:E,E468)</f>
        <v>110</v>
      </c>
      <c r="H468">
        <f>COUNTIFS(E:E,E468,A:A,A468,D:D,D468)</f>
        <v>1</v>
      </c>
      <c r="I468" t="e">
        <f>SUMIF([1]Mapeamento!$J:$J,A468,[1]Mapeamento!$L:$L)</f>
        <v>#VALUE!</v>
      </c>
      <c r="J468" s="1" t="e">
        <f>SUMIF('[1]Map_Meso-Ox'!$C:$C,A468,'[1]Map_Meso-Ox'!$D:$D)</f>
        <v>#VALUE!</v>
      </c>
      <c r="K468" s="2" t="e">
        <f t="shared" si="14"/>
        <v>#VALUE!</v>
      </c>
      <c r="L468" s="1" t="e">
        <f>SUMIF('[1]Map_Meso-Ox'!$C:$C,A468,'[1]Map_Meso-Ox'!$E:$E)</f>
        <v>#VALUE!</v>
      </c>
      <c r="M468" s="2" t="e">
        <f t="shared" si="15"/>
        <v>#VALUE!</v>
      </c>
    </row>
    <row r="469" spans="1:13" x14ac:dyDescent="0.25">
      <c r="A469">
        <v>28</v>
      </c>
      <c r="B469">
        <v>1</v>
      </c>
      <c r="C469">
        <v>11.952</v>
      </c>
      <c r="D469">
        <v>0.35680000000000001</v>
      </c>
      <c r="E469" t="s">
        <v>9</v>
      </c>
      <c r="F469">
        <v>2</v>
      </c>
      <c r="G469">
        <f>COUNTIF(E:E,E469)</f>
        <v>110</v>
      </c>
      <c r="H469">
        <f>COUNTIFS(E:E,E469,A:A,A469,D:D,D469)</f>
        <v>1</v>
      </c>
      <c r="I469" t="e">
        <f>SUMIF([1]Mapeamento!$J:$J,A469,[1]Mapeamento!$L:$L)</f>
        <v>#VALUE!</v>
      </c>
      <c r="J469" s="1" t="e">
        <f>SUMIF('[1]Map_Meso-Ox'!$C:$C,A469,'[1]Map_Meso-Ox'!$D:$D)</f>
        <v>#VALUE!</v>
      </c>
      <c r="K469" s="2" t="e">
        <f t="shared" si="14"/>
        <v>#VALUE!</v>
      </c>
      <c r="L469" s="1" t="e">
        <f>SUMIF('[1]Map_Meso-Ox'!$C:$C,A469,'[1]Map_Meso-Ox'!$E:$E)</f>
        <v>#VALUE!</v>
      </c>
      <c r="M469" s="2" t="e">
        <f t="shared" si="15"/>
        <v>#VALUE!</v>
      </c>
    </row>
    <row r="470" spans="1:13" x14ac:dyDescent="0.25">
      <c r="A470">
        <v>29</v>
      </c>
      <c r="B470">
        <v>1</v>
      </c>
      <c r="C470">
        <v>18.617000000000001</v>
      </c>
      <c r="D470">
        <v>7.0400000000000004E-2</v>
      </c>
      <c r="E470" t="s">
        <v>9</v>
      </c>
      <c r="F470">
        <v>1</v>
      </c>
      <c r="G470">
        <f>COUNTIF(E:E,E470)</f>
        <v>110</v>
      </c>
      <c r="H470">
        <f>COUNTIFS(E:E,E470,A:A,A470,D:D,D470)</f>
        <v>1</v>
      </c>
      <c r="I470" t="e">
        <f>SUMIF([1]Mapeamento!$J:$J,A470,[1]Mapeamento!$L:$L)</f>
        <v>#VALUE!</v>
      </c>
      <c r="J470" s="1" t="e">
        <f>SUMIF('[1]Map_Meso-Ox'!$C:$C,A470,'[1]Map_Meso-Ox'!$D:$D)</f>
        <v>#VALUE!</v>
      </c>
      <c r="K470" s="2" t="e">
        <f t="shared" si="14"/>
        <v>#VALUE!</v>
      </c>
      <c r="L470" s="1" t="e">
        <f>SUMIF('[1]Map_Meso-Ox'!$C:$C,A470,'[1]Map_Meso-Ox'!$E:$E)</f>
        <v>#VALUE!</v>
      </c>
      <c r="M470" s="2" t="e">
        <f t="shared" si="15"/>
        <v>#VALUE!</v>
      </c>
    </row>
    <row r="471" spans="1:13" x14ac:dyDescent="0.25">
      <c r="A471">
        <v>30</v>
      </c>
      <c r="B471">
        <v>1</v>
      </c>
      <c r="C471">
        <v>17.661000000000001</v>
      </c>
      <c r="D471">
        <v>0.1055</v>
      </c>
      <c r="E471" t="s">
        <v>9</v>
      </c>
      <c r="F471">
        <v>1</v>
      </c>
      <c r="G471">
        <f>COUNTIF(E:E,E471)</f>
        <v>110</v>
      </c>
      <c r="H471">
        <f>COUNTIFS(E:E,E471,A:A,A471,D:D,D471)</f>
        <v>1</v>
      </c>
      <c r="I471" t="e">
        <f>SUMIF([1]Mapeamento!$J:$J,A471,[1]Mapeamento!$L:$L)</f>
        <v>#VALUE!</v>
      </c>
      <c r="J471" s="1" t="e">
        <f>SUMIF('[1]Map_Meso-Ox'!$C:$C,A471,'[1]Map_Meso-Ox'!$D:$D)</f>
        <v>#VALUE!</v>
      </c>
      <c r="K471" s="2" t="e">
        <f t="shared" si="14"/>
        <v>#VALUE!</v>
      </c>
      <c r="L471" s="1" t="e">
        <f>SUMIF('[1]Map_Meso-Ox'!$C:$C,A471,'[1]Map_Meso-Ox'!$E:$E)</f>
        <v>#VALUE!</v>
      </c>
      <c r="M471" s="2" t="e">
        <f t="shared" si="15"/>
        <v>#VALUE!</v>
      </c>
    </row>
    <row r="472" spans="1:13" x14ac:dyDescent="0.25">
      <c r="A472">
        <v>31</v>
      </c>
      <c r="B472">
        <v>1</v>
      </c>
      <c r="C472">
        <v>48.116999999999997</v>
      </c>
      <c r="D472">
        <v>0</v>
      </c>
      <c r="E472" t="s">
        <v>9</v>
      </c>
      <c r="F472">
        <v>1</v>
      </c>
      <c r="G472">
        <f>COUNTIF(E:E,E472)</f>
        <v>110</v>
      </c>
      <c r="H472">
        <f>COUNTIFS(E:E,E472,A:A,A472,D:D,D472)</f>
        <v>1</v>
      </c>
      <c r="I472" t="e">
        <f>SUMIF([1]Mapeamento!$J:$J,A472,[1]Mapeamento!$L:$L)</f>
        <v>#VALUE!</v>
      </c>
      <c r="J472" s="1" t="e">
        <f>SUMIF('[1]Map_Meso-Ox'!$C:$C,A472,'[1]Map_Meso-Ox'!$D:$D)</f>
        <v>#VALUE!</v>
      </c>
      <c r="K472" s="2" t="e">
        <f t="shared" si="14"/>
        <v>#VALUE!</v>
      </c>
      <c r="L472" s="1" t="e">
        <f>SUMIF('[1]Map_Meso-Ox'!$C:$C,A472,'[1]Map_Meso-Ox'!$E:$E)</f>
        <v>#VALUE!</v>
      </c>
      <c r="M472" s="2" t="e">
        <f t="shared" si="15"/>
        <v>#VALUE!</v>
      </c>
    </row>
    <row r="473" spans="1:13" x14ac:dyDescent="0.25">
      <c r="A473">
        <v>32</v>
      </c>
      <c r="B473">
        <v>1</v>
      </c>
      <c r="C473">
        <v>24.254999999999999</v>
      </c>
      <c r="D473">
        <v>3.0200000000000001E-2</v>
      </c>
      <c r="E473" t="s">
        <v>9</v>
      </c>
      <c r="F473">
        <v>1</v>
      </c>
      <c r="G473">
        <f>COUNTIF(E:E,E473)</f>
        <v>110</v>
      </c>
      <c r="H473">
        <f>COUNTIFS(E:E,E473,A:A,A473,D:D,D473)</f>
        <v>1</v>
      </c>
      <c r="I473" t="e">
        <f>SUMIF([1]Mapeamento!$J:$J,A473,[1]Mapeamento!$L:$L)</f>
        <v>#VALUE!</v>
      </c>
      <c r="J473" s="1" t="e">
        <f>SUMIF('[1]Map_Meso-Ox'!$C:$C,A473,'[1]Map_Meso-Ox'!$D:$D)</f>
        <v>#VALUE!</v>
      </c>
      <c r="K473" s="2" t="e">
        <f t="shared" si="14"/>
        <v>#VALUE!</v>
      </c>
      <c r="L473" s="1" t="e">
        <f>SUMIF('[1]Map_Meso-Ox'!$C:$C,A473,'[1]Map_Meso-Ox'!$E:$E)</f>
        <v>#VALUE!</v>
      </c>
      <c r="M473" s="2" t="e">
        <f t="shared" si="15"/>
        <v>#VALUE!</v>
      </c>
    </row>
    <row r="474" spans="1:13" x14ac:dyDescent="0.25">
      <c r="A474">
        <v>33</v>
      </c>
      <c r="B474">
        <v>1</v>
      </c>
      <c r="C474">
        <v>15.298999999999999</v>
      </c>
      <c r="D474">
        <v>0.15579999999999999</v>
      </c>
      <c r="E474" t="s">
        <v>9</v>
      </c>
      <c r="F474">
        <v>0</v>
      </c>
      <c r="G474">
        <f>COUNTIF(E:E,E474)</f>
        <v>110</v>
      </c>
      <c r="H474">
        <f>COUNTIFS(E:E,E474,A:A,A474,D:D,D474)</f>
        <v>1</v>
      </c>
      <c r="I474" t="e">
        <f>SUMIF([1]Mapeamento!$J:$J,A474,[1]Mapeamento!$L:$L)</f>
        <v>#VALUE!</v>
      </c>
      <c r="J474" s="1" t="e">
        <f>SUMIF('[1]Map_Meso-Ox'!$C:$C,A474,'[1]Map_Meso-Ox'!$D:$D)</f>
        <v>#VALUE!</v>
      </c>
      <c r="K474" s="2" t="e">
        <f t="shared" si="14"/>
        <v>#VALUE!</v>
      </c>
      <c r="L474" s="1" t="e">
        <f>SUMIF('[1]Map_Meso-Ox'!$C:$C,A474,'[1]Map_Meso-Ox'!$E:$E)</f>
        <v>#VALUE!</v>
      </c>
      <c r="M474" s="2" t="e">
        <f t="shared" si="15"/>
        <v>#VALUE!</v>
      </c>
    </row>
    <row r="475" spans="1:13" x14ac:dyDescent="0.25">
      <c r="A475">
        <v>34</v>
      </c>
      <c r="B475">
        <v>1</v>
      </c>
      <c r="C475">
        <v>28.71</v>
      </c>
      <c r="D475">
        <v>2.5100000000000001E-2</v>
      </c>
      <c r="E475" t="s">
        <v>9</v>
      </c>
      <c r="F475">
        <v>2</v>
      </c>
      <c r="G475">
        <f>COUNTIF(E:E,E475)</f>
        <v>110</v>
      </c>
      <c r="H475">
        <f>COUNTIFS(E:E,E475,A:A,A475,D:D,D475)</f>
        <v>1</v>
      </c>
      <c r="I475" t="e">
        <f>SUMIF([1]Mapeamento!$J:$J,A475,[1]Mapeamento!$L:$L)</f>
        <v>#VALUE!</v>
      </c>
      <c r="J475" s="1" t="e">
        <f>SUMIF('[1]Map_Meso-Ox'!$C:$C,A475,'[1]Map_Meso-Ox'!$D:$D)</f>
        <v>#VALUE!</v>
      </c>
      <c r="K475" s="2" t="e">
        <f t="shared" si="14"/>
        <v>#VALUE!</v>
      </c>
      <c r="L475" s="1" t="e">
        <f>SUMIF('[1]Map_Meso-Ox'!$C:$C,A475,'[1]Map_Meso-Ox'!$E:$E)</f>
        <v>#VALUE!</v>
      </c>
      <c r="M475" s="2" t="e">
        <f t="shared" si="15"/>
        <v>#VALUE!</v>
      </c>
    </row>
    <row r="476" spans="1:13" x14ac:dyDescent="0.25">
      <c r="A476">
        <v>35</v>
      </c>
      <c r="B476">
        <v>1</v>
      </c>
      <c r="C476">
        <v>17.655000000000001</v>
      </c>
      <c r="D476">
        <v>0.1658</v>
      </c>
      <c r="E476" t="s">
        <v>9</v>
      </c>
      <c r="F476">
        <v>0</v>
      </c>
      <c r="G476">
        <f>COUNTIF(E:E,E476)</f>
        <v>110</v>
      </c>
      <c r="H476">
        <f>COUNTIFS(E:E,E476,A:A,A476,D:D,D476)</f>
        <v>1</v>
      </c>
      <c r="I476" t="e">
        <f>SUMIF([1]Mapeamento!$J:$J,A476,[1]Mapeamento!$L:$L)</f>
        <v>#VALUE!</v>
      </c>
      <c r="J476" s="1" t="e">
        <f>SUMIF('[1]Map_Meso-Ox'!$C:$C,A476,'[1]Map_Meso-Ox'!$D:$D)</f>
        <v>#VALUE!</v>
      </c>
      <c r="K476" s="2" t="e">
        <f t="shared" si="14"/>
        <v>#VALUE!</v>
      </c>
      <c r="L476" s="1" t="e">
        <f>SUMIF('[1]Map_Meso-Ox'!$C:$C,A476,'[1]Map_Meso-Ox'!$E:$E)</f>
        <v>#VALUE!</v>
      </c>
      <c r="M476" s="2" t="e">
        <f t="shared" si="15"/>
        <v>#VALUE!</v>
      </c>
    </row>
    <row r="477" spans="1:13" x14ac:dyDescent="0.25">
      <c r="A477">
        <v>36</v>
      </c>
      <c r="B477">
        <v>1</v>
      </c>
      <c r="C477">
        <v>22.634</v>
      </c>
      <c r="D477">
        <v>6.5299999999999997E-2</v>
      </c>
      <c r="E477" t="s">
        <v>9</v>
      </c>
      <c r="F477">
        <v>2</v>
      </c>
      <c r="G477">
        <f>COUNTIF(E:E,E477)</f>
        <v>110</v>
      </c>
      <c r="H477">
        <f>COUNTIFS(E:E,E477,A:A,A477,D:D,D477)</f>
        <v>1</v>
      </c>
      <c r="I477" t="e">
        <f>SUMIF([1]Mapeamento!$J:$J,A477,[1]Mapeamento!$L:$L)</f>
        <v>#VALUE!</v>
      </c>
      <c r="J477" s="1" t="e">
        <f>SUMIF('[1]Map_Meso-Ox'!$C:$C,A477,'[1]Map_Meso-Ox'!$D:$D)</f>
        <v>#VALUE!</v>
      </c>
      <c r="K477" s="2" t="e">
        <f t="shared" si="14"/>
        <v>#VALUE!</v>
      </c>
      <c r="L477" s="1" t="e">
        <f>SUMIF('[1]Map_Meso-Ox'!$C:$C,A477,'[1]Map_Meso-Ox'!$E:$E)</f>
        <v>#VALUE!</v>
      </c>
      <c r="M477" s="2" t="e">
        <f t="shared" si="15"/>
        <v>#VALUE!</v>
      </c>
    </row>
    <row r="478" spans="1:13" x14ac:dyDescent="0.25">
      <c r="A478">
        <v>37</v>
      </c>
      <c r="B478">
        <v>1</v>
      </c>
      <c r="C478">
        <v>23.64</v>
      </c>
      <c r="D478">
        <v>2.01E-2</v>
      </c>
      <c r="E478" t="s">
        <v>9</v>
      </c>
      <c r="F478">
        <v>1</v>
      </c>
      <c r="G478">
        <f>COUNTIF(E:E,E478)</f>
        <v>110</v>
      </c>
      <c r="H478">
        <f>COUNTIFS(E:E,E478,A:A,A478,D:D,D478)</f>
        <v>1</v>
      </c>
      <c r="I478" t="e">
        <f>SUMIF([1]Mapeamento!$J:$J,A478,[1]Mapeamento!$L:$L)</f>
        <v>#VALUE!</v>
      </c>
      <c r="J478" s="1" t="e">
        <f>SUMIF('[1]Map_Meso-Ox'!$C:$C,A478,'[1]Map_Meso-Ox'!$D:$D)</f>
        <v>#VALUE!</v>
      </c>
      <c r="K478" s="2" t="e">
        <f t="shared" si="14"/>
        <v>#VALUE!</v>
      </c>
      <c r="L478" s="1" t="e">
        <f>SUMIF('[1]Map_Meso-Ox'!$C:$C,A478,'[1]Map_Meso-Ox'!$E:$E)</f>
        <v>#VALUE!</v>
      </c>
      <c r="M478" s="2" t="e">
        <f t="shared" si="15"/>
        <v>#VALUE!</v>
      </c>
    </row>
    <row r="479" spans="1:13" x14ac:dyDescent="0.25">
      <c r="A479">
        <v>38</v>
      </c>
      <c r="B479">
        <v>1</v>
      </c>
      <c r="C479">
        <v>17.856999999999999</v>
      </c>
      <c r="D479">
        <v>0.20599999999999999</v>
      </c>
      <c r="E479" t="s">
        <v>9</v>
      </c>
      <c r="F479">
        <v>0</v>
      </c>
      <c r="G479">
        <f>COUNTIF(E:E,E479)</f>
        <v>110</v>
      </c>
      <c r="H479">
        <f>COUNTIFS(E:E,E479,A:A,A479,D:D,D479)</f>
        <v>1</v>
      </c>
      <c r="I479" t="e">
        <f>SUMIF([1]Mapeamento!$J:$J,A479,[1]Mapeamento!$L:$L)</f>
        <v>#VALUE!</v>
      </c>
      <c r="J479" s="1" t="e">
        <f>SUMIF('[1]Map_Meso-Ox'!$C:$C,A479,'[1]Map_Meso-Ox'!$D:$D)</f>
        <v>#VALUE!</v>
      </c>
      <c r="K479" s="2" t="e">
        <f t="shared" si="14"/>
        <v>#VALUE!</v>
      </c>
      <c r="L479" s="1" t="e">
        <f>SUMIF('[1]Map_Meso-Ox'!$C:$C,A479,'[1]Map_Meso-Ox'!$E:$E)</f>
        <v>#VALUE!</v>
      </c>
      <c r="M479" s="2" t="e">
        <f t="shared" si="15"/>
        <v>#VALUE!</v>
      </c>
    </row>
    <row r="480" spans="1:13" x14ac:dyDescent="0.25">
      <c r="A480">
        <v>39</v>
      </c>
      <c r="B480">
        <v>1</v>
      </c>
      <c r="C480">
        <v>27.946999999999999</v>
      </c>
      <c r="D480">
        <v>1.01E-2</v>
      </c>
      <c r="E480" t="s">
        <v>9</v>
      </c>
      <c r="F480">
        <v>1</v>
      </c>
      <c r="G480">
        <f>COUNTIF(E:E,E480)</f>
        <v>110</v>
      </c>
      <c r="H480">
        <f>COUNTIFS(E:E,E480,A:A,A480,D:D,D480)</f>
        <v>1</v>
      </c>
      <c r="I480" t="e">
        <f>SUMIF([1]Mapeamento!$J:$J,A480,[1]Mapeamento!$L:$L)</f>
        <v>#VALUE!</v>
      </c>
      <c r="J480" s="1" t="e">
        <f>SUMIF('[1]Map_Meso-Ox'!$C:$C,A480,'[1]Map_Meso-Ox'!$D:$D)</f>
        <v>#VALUE!</v>
      </c>
      <c r="K480" s="2" t="e">
        <f t="shared" si="14"/>
        <v>#VALUE!</v>
      </c>
      <c r="L480" s="1" t="e">
        <f>SUMIF('[1]Map_Meso-Ox'!$C:$C,A480,'[1]Map_Meso-Ox'!$E:$E)</f>
        <v>#VALUE!</v>
      </c>
      <c r="M480" s="2" t="e">
        <f t="shared" si="15"/>
        <v>#VALUE!</v>
      </c>
    </row>
    <row r="481" spans="1:13" x14ac:dyDescent="0.25">
      <c r="A481">
        <v>40</v>
      </c>
      <c r="B481">
        <v>1</v>
      </c>
      <c r="C481">
        <v>25.314</v>
      </c>
      <c r="D481">
        <v>5.5300000000000002E-2</v>
      </c>
      <c r="E481" t="s">
        <v>9</v>
      </c>
      <c r="F481">
        <v>1</v>
      </c>
      <c r="G481">
        <f>COUNTIF(E:E,E481)</f>
        <v>110</v>
      </c>
      <c r="H481">
        <f>COUNTIFS(E:E,E481,A:A,A481,D:D,D481)</f>
        <v>1</v>
      </c>
      <c r="I481" t="e">
        <f>SUMIF([1]Mapeamento!$J:$J,A481,[1]Mapeamento!$L:$L)</f>
        <v>#VALUE!</v>
      </c>
      <c r="J481" s="1" t="e">
        <f>SUMIF('[1]Map_Meso-Ox'!$C:$C,A481,'[1]Map_Meso-Ox'!$D:$D)</f>
        <v>#VALUE!</v>
      </c>
      <c r="K481" s="2" t="e">
        <f t="shared" si="14"/>
        <v>#VALUE!</v>
      </c>
      <c r="L481" s="1" t="e">
        <f>SUMIF('[1]Map_Meso-Ox'!$C:$C,A481,'[1]Map_Meso-Ox'!$E:$E)</f>
        <v>#VALUE!</v>
      </c>
      <c r="M481" s="2" t="e">
        <f t="shared" si="15"/>
        <v>#VALUE!</v>
      </c>
    </row>
    <row r="482" spans="1:13" x14ac:dyDescent="0.25">
      <c r="A482">
        <v>41</v>
      </c>
      <c r="B482">
        <v>1</v>
      </c>
      <c r="C482">
        <v>24.204000000000001</v>
      </c>
      <c r="D482">
        <v>3.0200000000000001E-2</v>
      </c>
      <c r="E482" t="s">
        <v>9</v>
      </c>
      <c r="F482">
        <v>1</v>
      </c>
      <c r="G482">
        <f>COUNTIF(E:E,E482)</f>
        <v>110</v>
      </c>
      <c r="H482">
        <f>COUNTIFS(E:E,E482,A:A,A482,D:D,D482)</f>
        <v>1</v>
      </c>
      <c r="I482" t="e">
        <f>SUMIF([1]Mapeamento!$J:$J,A482,[1]Mapeamento!$L:$L)</f>
        <v>#VALUE!</v>
      </c>
      <c r="J482" s="1" t="e">
        <f>SUMIF('[1]Map_Meso-Ox'!$C:$C,A482,'[1]Map_Meso-Ox'!$D:$D)</f>
        <v>#VALUE!</v>
      </c>
      <c r="K482" s="2" t="e">
        <f t="shared" si="14"/>
        <v>#VALUE!</v>
      </c>
      <c r="L482" s="1" t="e">
        <f>SUMIF('[1]Map_Meso-Ox'!$C:$C,A482,'[1]Map_Meso-Ox'!$E:$E)</f>
        <v>#VALUE!</v>
      </c>
      <c r="M482" s="2" t="e">
        <f t="shared" si="15"/>
        <v>#VALUE!</v>
      </c>
    </row>
    <row r="483" spans="1:13" x14ac:dyDescent="0.25">
      <c r="A483">
        <v>42</v>
      </c>
      <c r="B483">
        <v>1</v>
      </c>
      <c r="C483">
        <v>32.802</v>
      </c>
      <c r="D483">
        <v>3.5200000000000002E-2</v>
      </c>
      <c r="E483" t="s">
        <v>9</v>
      </c>
      <c r="F483">
        <v>0</v>
      </c>
      <c r="G483">
        <f>COUNTIF(E:E,E483)</f>
        <v>110</v>
      </c>
      <c r="H483">
        <f>COUNTIFS(E:E,E483,A:A,A483,D:D,D483)</f>
        <v>1</v>
      </c>
      <c r="I483" t="e">
        <f>SUMIF([1]Mapeamento!$J:$J,A483,[1]Mapeamento!$L:$L)</f>
        <v>#VALUE!</v>
      </c>
      <c r="J483" s="1" t="e">
        <f>SUMIF('[1]Map_Meso-Ox'!$C:$C,A483,'[1]Map_Meso-Ox'!$D:$D)</f>
        <v>#VALUE!</v>
      </c>
      <c r="K483" s="2" t="e">
        <f t="shared" si="14"/>
        <v>#VALUE!</v>
      </c>
      <c r="L483" s="1" t="e">
        <f>SUMIF('[1]Map_Meso-Ox'!$C:$C,A483,'[1]Map_Meso-Ox'!$E:$E)</f>
        <v>#VALUE!</v>
      </c>
      <c r="M483" s="2" t="e">
        <f t="shared" si="15"/>
        <v>#VALUE!</v>
      </c>
    </row>
    <row r="484" spans="1:13" x14ac:dyDescent="0.25">
      <c r="A484">
        <v>43</v>
      </c>
      <c r="B484">
        <v>1</v>
      </c>
      <c r="C484">
        <v>12.744999999999999</v>
      </c>
      <c r="D484">
        <v>0.39700000000000002</v>
      </c>
      <c r="E484" t="s">
        <v>9</v>
      </c>
      <c r="F484">
        <v>0</v>
      </c>
      <c r="G484">
        <f>COUNTIF(E:E,E484)</f>
        <v>110</v>
      </c>
      <c r="H484">
        <f>COUNTIFS(E:E,E484,A:A,A484,D:D,D484)</f>
        <v>1</v>
      </c>
      <c r="I484" t="e">
        <f>SUMIF([1]Mapeamento!$J:$J,A484,[1]Mapeamento!$L:$L)</f>
        <v>#VALUE!</v>
      </c>
      <c r="J484" s="1" t="e">
        <f>SUMIF('[1]Map_Meso-Ox'!$C:$C,A484,'[1]Map_Meso-Ox'!$D:$D)</f>
        <v>#VALUE!</v>
      </c>
      <c r="K484" s="2" t="e">
        <f t="shared" si="14"/>
        <v>#VALUE!</v>
      </c>
      <c r="L484" s="1" t="e">
        <f>SUMIF('[1]Map_Meso-Ox'!$C:$C,A484,'[1]Map_Meso-Ox'!$E:$E)</f>
        <v>#VALUE!</v>
      </c>
      <c r="M484" s="2" t="e">
        <f t="shared" si="15"/>
        <v>#VALUE!</v>
      </c>
    </row>
    <row r="485" spans="1:13" x14ac:dyDescent="0.25">
      <c r="A485">
        <v>44</v>
      </c>
      <c r="B485">
        <v>1</v>
      </c>
      <c r="C485">
        <v>28.283000000000001</v>
      </c>
      <c r="D485">
        <v>6.0299999999999999E-2</v>
      </c>
      <c r="E485" t="s">
        <v>9</v>
      </c>
      <c r="F485">
        <v>0</v>
      </c>
      <c r="G485">
        <f>COUNTIF(E:E,E485)</f>
        <v>110</v>
      </c>
      <c r="H485">
        <f>COUNTIFS(E:E,E485,A:A,A485,D:D,D485)</f>
        <v>1</v>
      </c>
      <c r="I485" t="e">
        <f>SUMIF([1]Mapeamento!$J:$J,A485,[1]Mapeamento!$L:$L)</f>
        <v>#VALUE!</v>
      </c>
      <c r="J485" s="1" t="e">
        <f>SUMIF('[1]Map_Meso-Ox'!$C:$C,A485,'[1]Map_Meso-Ox'!$D:$D)</f>
        <v>#VALUE!</v>
      </c>
      <c r="K485" s="2" t="e">
        <f t="shared" si="14"/>
        <v>#VALUE!</v>
      </c>
      <c r="L485" s="1" t="e">
        <f>SUMIF('[1]Map_Meso-Ox'!$C:$C,A485,'[1]Map_Meso-Ox'!$E:$E)</f>
        <v>#VALUE!</v>
      </c>
      <c r="M485" s="2" t="e">
        <f t="shared" si="15"/>
        <v>#VALUE!</v>
      </c>
    </row>
    <row r="486" spans="1:13" x14ac:dyDescent="0.25">
      <c r="A486">
        <v>45</v>
      </c>
      <c r="B486">
        <v>1</v>
      </c>
      <c r="C486">
        <v>20.146000000000001</v>
      </c>
      <c r="D486">
        <v>4.5199999999999997E-2</v>
      </c>
      <c r="E486" t="s">
        <v>9</v>
      </c>
      <c r="F486">
        <v>2</v>
      </c>
      <c r="G486">
        <f>COUNTIF(E:E,E486)</f>
        <v>110</v>
      </c>
      <c r="H486">
        <f>COUNTIFS(E:E,E486,A:A,A486,D:D,D486)</f>
        <v>1</v>
      </c>
      <c r="I486" t="e">
        <f>SUMIF([1]Mapeamento!$J:$J,A486,[1]Mapeamento!$L:$L)</f>
        <v>#VALUE!</v>
      </c>
      <c r="J486" s="1" t="e">
        <f>SUMIF('[1]Map_Meso-Ox'!$C:$C,A486,'[1]Map_Meso-Ox'!$D:$D)</f>
        <v>#VALUE!</v>
      </c>
      <c r="K486" s="2" t="e">
        <f t="shared" si="14"/>
        <v>#VALUE!</v>
      </c>
      <c r="L486" s="1" t="e">
        <f>SUMIF('[1]Map_Meso-Ox'!$C:$C,A486,'[1]Map_Meso-Ox'!$E:$E)</f>
        <v>#VALUE!</v>
      </c>
      <c r="M486" s="2" t="e">
        <f t="shared" si="15"/>
        <v>#VALUE!</v>
      </c>
    </row>
    <row r="487" spans="1:13" x14ac:dyDescent="0.25">
      <c r="A487">
        <v>46</v>
      </c>
      <c r="B487">
        <v>1</v>
      </c>
      <c r="C487">
        <v>37.796999999999997</v>
      </c>
      <c r="D487">
        <v>1.5100000000000001E-2</v>
      </c>
      <c r="E487" t="s">
        <v>9</v>
      </c>
      <c r="F487">
        <v>0</v>
      </c>
      <c r="G487">
        <f>COUNTIF(E:E,E487)</f>
        <v>110</v>
      </c>
      <c r="H487">
        <f>COUNTIFS(E:E,E487,A:A,A487,D:D,D487)</f>
        <v>1</v>
      </c>
      <c r="I487" t="e">
        <f>SUMIF([1]Mapeamento!$J:$J,A487,[1]Mapeamento!$L:$L)</f>
        <v>#VALUE!</v>
      </c>
      <c r="J487" s="1" t="e">
        <f>SUMIF('[1]Map_Meso-Ox'!$C:$C,A487,'[1]Map_Meso-Ox'!$D:$D)</f>
        <v>#VALUE!</v>
      </c>
      <c r="K487" s="2" t="e">
        <f t="shared" si="14"/>
        <v>#VALUE!</v>
      </c>
      <c r="L487" s="1" t="e">
        <f>SUMIF('[1]Map_Meso-Ox'!$C:$C,A487,'[1]Map_Meso-Ox'!$E:$E)</f>
        <v>#VALUE!</v>
      </c>
      <c r="M487" s="2" t="e">
        <f t="shared" si="15"/>
        <v>#VALUE!</v>
      </c>
    </row>
    <row r="488" spans="1:13" x14ac:dyDescent="0.25">
      <c r="A488">
        <v>47</v>
      </c>
      <c r="B488">
        <v>1</v>
      </c>
      <c r="C488">
        <v>20.355</v>
      </c>
      <c r="D488">
        <v>0.191</v>
      </c>
      <c r="E488" t="s">
        <v>9</v>
      </c>
      <c r="F488">
        <v>0</v>
      </c>
      <c r="G488">
        <f>COUNTIF(E:E,E488)</f>
        <v>110</v>
      </c>
      <c r="H488">
        <f>COUNTIFS(E:E,E488,A:A,A488,D:D,D488)</f>
        <v>1</v>
      </c>
      <c r="I488" t="e">
        <f>SUMIF([1]Mapeamento!$J:$J,A488,[1]Mapeamento!$L:$L)</f>
        <v>#VALUE!</v>
      </c>
      <c r="J488" s="1" t="e">
        <f>SUMIF('[1]Map_Meso-Ox'!$C:$C,A488,'[1]Map_Meso-Ox'!$D:$D)</f>
        <v>#VALUE!</v>
      </c>
      <c r="K488" s="2" t="e">
        <f t="shared" si="14"/>
        <v>#VALUE!</v>
      </c>
      <c r="L488" s="1" t="e">
        <f>SUMIF('[1]Map_Meso-Ox'!$C:$C,A488,'[1]Map_Meso-Ox'!$E:$E)</f>
        <v>#VALUE!</v>
      </c>
      <c r="M488" s="2" t="e">
        <f t="shared" si="15"/>
        <v>#VALUE!</v>
      </c>
    </row>
    <row r="489" spans="1:13" x14ac:dyDescent="0.25">
      <c r="A489">
        <v>48</v>
      </c>
      <c r="B489">
        <v>1</v>
      </c>
      <c r="C489">
        <v>18.242000000000001</v>
      </c>
      <c r="D489">
        <v>0.18090000000000001</v>
      </c>
      <c r="E489" t="s">
        <v>9</v>
      </c>
      <c r="F489">
        <v>0</v>
      </c>
      <c r="G489">
        <f>COUNTIF(E:E,E489)</f>
        <v>110</v>
      </c>
      <c r="H489">
        <f>COUNTIFS(E:E,E489,A:A,A489,D:D,D489)</f>
        <v>1</v>
      </c>
      <c r="I489" t="e">
        <f>SUMIF([1]Mapeamento!$J:$J,A489,[1]Mapeamento!$L:$L)</f>
        <v>#VALUE!</v>
      </c>
      <c r="J489" s="1" t="e">
        <f>SUMIF('[1]Map_Meso-Ox'!$C:$C,A489,'[1]Map_Meso-Ox'!$D:$D)</f>
        <v>#VALUE!</v>
      </c>
      <c r="K489" s="2" t="e">
        <f t="shared" si="14"/>
        <v>#VALUE!</v>
      </c>
      <c r="L489" s="1" t="e">
        <f>SUMIF('[1]Map_Meso-Ox'!$C:$C,A489,'[1]Map_Meso-Ox'!$E:$E)</f>
        <v>#VALUE!</v>
      </c>
      <c r="M489" s="2" t="e">
        <f t="shared" si="15"/>
        <v>#VALUE!</v>
      </c>
    </row>
    <row r="490" spans="1:13" x14ac:dyDescent="0.25">
      <c r="A490">
        <v>49</v>
      </c>
      <c r="B490">
        <v>1</v>
      </c>
      <c r="C490">
        <v>22.466000000000001</v>
      </c>
      <c r="D490">
        <v>0.15579999999999999</v>
      </c>
      <c r="E490" t="s">
        <v>9</v>
      </c>
      <c r="F490">
        <v>0</v>
      </c>
      <c r="G490">
        <f>COUNTIF(E:E,E490)</f>
        <v>110</v>
      </c>
      <c r="H490">
        <f>COUNTIFS(E:E,E490,A:A,A490,D:D,D490)</f>
        <v>1</v>
      </c>
      <c r="I490" t="e">
        <f>SUMIF([1]Mapeamento!$J:$J,A490,[1]Mapeamento!$L:$L)</f>
        <v>#VALUE!</v>
      </c>
      <c r="J490" s="1" t="e">
        <f>SUMIF('[1]Map_Meso-Ox'!$C:$C,A490,'[1]Map_Meso-Ox'!$D:$D)</f>
        <v>#VALUE!</v>
      </c>
      <c r="K490" s="2" t="e">
        <f t="shared" si="14"/>
        <v>#VALUE!</v>
      </c>
      <c r="L490" s="1" t="e">
        <f>SUMIF('[1]Map_Meso-Ox'!$C:$C,A490,'[1]Map_Meso-Ox'!$E:$E)</f>
        <v>#VALUE!</v>
      </c>
      <c r="M490" s="2" t="e">
        <f t="shared" si="15"/>
        <v>#VALUE!</v>
      </c>
    </row>
    <row r="491" spans="1:13" x14ac:dyDescent="0.25">
      <c r="A491">
        <v>50</v>
      </c>
      <c r="B491">
        <v>1</v>
      </c>
      <c r="C491">
        <v>29.440999999999999</v>
      </c>
      <c r="D491">
        <v>2.01E-2</v>
      </c>
      <c r="E491" t="s">
        <v>9</v>
      </c>
      <c r="F491">
        <v>0</v>
      </c>
      <c r="G491">
        <f>COUNTIF(E:E,E491)</f>
        <v>110</v>
      </c>
      <c r="H491">
        <f>COUNTIFS(E:E,E491,A:A,A491,D:D,D491)</f>
        <v>1</v>
      </c>
      <c r="I491" t="e">
        <f>SUMIF([1]Mapeamento!$J:$J,A491,[1]Mapeamento!$L:$L)</f>
        <v>#VALUE!</v>
      </c>
      <c r="J491" s="1" t="e">
        <f>SUMIF('[1]Map_Meso-Ox'!$C:$C,A491,'[1]Map_Meso-Ox'!$D:$D)</f>
        <v>#VALUE!</v>
      </c>
      <c r="K491" s="2" t="e">
        <f t="shared" si="14"/>
        <v>#VALUE!</v>
      </c>
      <c r="L491" s="1" t="e">
        <f>SUMIF('[1]Map_Meso-Ox'!$C:$C,A491,'[1]Map_Meso-Ox'!$E:$E)</f>
        <v>#VALUE!</v>
      </c>
      <c r="M491" s="2" t="e">
        <f t="shared" si="15"/>
        <v>#VALUE!</v>
      </c>
    </row>
    <row r="492" spans="1:13" x14ac:dyDescent="0.25">
      <c r="A492">
        <v>51</v>
      </c>
      <c r="B492">
        <v>1</v>
      </c>
      <c r="C492">
        <v>19.614000000000001</v>
      </c>
      <c r="D492">
        <v>0.28139999999999998</v>
      </c>
      <c r="E492" t="s">
        <v>9</v>
      </c>
      <c r="F492">
        <v>0</v>
      </c>
      <c r="G492">
        <f>COUNTIF(E:E,E492)</f>
        <v>110</v>
      </c>
      <c r="H492">
        <f>COUNTIFS(E:E,E492,A:A,A492,D:D,D492)</f>
        <v>1</v>
      </c>
      <c r="I492" t="e">
        <f>SUMIF([1]Mapeamento!$J:$J,A492,[1]Mapeamento!$L:$L)</f>
        <v>#VALUE!</v>
      </c>
      <c r="J492" s="1" t="e">
        <f>SUMIF('[1]Map_Meso-Ox'!$C:$C,A492,'[1]Map_Meso-Ox'!$D:$D)</f>
        <v>#VALUE!</v>
      </c>
      <c r="K492" s="2" t="e">
        <f t="shared" si="14"/>
        <v>#VALUE!</v>
      </c>
      <c r="L492" s="1" t="e">
        <f>SUMIF('[1]Map_Meso-Ox'!$C:$C,A492,'[1]Map_Meso-Ox'!$E:$E)</f>
        <v>#VALUE!</v>
      </c>
      <c r="M492" s="2" t="e">
        <f t="shared" si="15"/>
        <v>#VALUE!</v>
      </c>
    </row>
    <row r="493" spans="1:13" x14ac:dyDescent="0.25">
      <c r="A493">
        <v>52</v>
      </c>
      <c r="B493">
        <v>1</v>
      </c>
      <c r="C493">
        <v>48.988999999999997</v>
      </c>
      <c r="D493">
        <v>0</v>
      </c>
      <c r="E493" t="s">
        <v>9</v>
      </c>
      <c r="F493">
        <v>1</v>
      </c>
      <c r="G493">
        <f>COUNTIF(E:E,E493)</f>
        <v>110</v>
      </c>
      <c r="H493">
        <f>COUNTIFS(E:E,E493,A:A,A493,D:D,D493)</f>
        <v>1</v>
      </c>
      <c r="I493" t="e">
        <f>SUMIF([1]Mapeamento!$J:$J,A493,[1]Mapeamento!$L:$L)</f>
        <v>#VALUE!</v>
      </c>
      <c r="J493" s="1" t="e">
        <f>SUMIF('[1]Map_Meso-Ox'!$C:$C,A493,'[1]Map_Meso-Ox'!$D:$D)</f>
        <v>#VALUE!</v>
      </c>
      <c r="K493" s="2" t="e">
        <f t="shared" si="14"/>
        <v>#VALUE!</v>
      </c>
      <c r="L493" s="1" t="e">
        <f>SUMIF('[1]Map_Meso-Ox'!$C:$C,A493,'[1]Map_Meso-Ox'!$E:$E)</f>
        <v>#VALUE!</v>
      </c>
      <c r="M493" s="2" t="e">
        <f t="shared" si="15"/>
        <v>#VALUE!</v>
      </c>
    </row>
    <row r="494" spans="1:13" x14ac:dyDescent="0.25">
      <c r="A494">
        <v>53</v>
      </c>
      <c r="B494">
        <v>1</v>
      </c>
      <c r="C494">
        <v>29.856999999999999</v>
      </c>
      <c r="D494">
        <v>0</v>
      </c>
      <c r="E494" t="s">
        <v>9</v>
      </c>
      <c r="F494">
        <v>3</v>
      </c>
      <c r="G494">
        <f>COUNTIF(E:E,E494)</f>
        <v>110</v>
      </c>
      <c r="H494">
        <f>COUNTIFS(E:E,E494,A:A,A494,D:D,D494)</f>
        <v>1</v>
      </c>
      <c r="I494" t="e">
        <f>SUMIF([1]Mapeamento!$J:$J,A494,[1]Mapeamento!$L:$L)</f>
        <v>#VALUE!</v>
      </c>
      <c r="J494" s="1" t="e">
        <f>SUMIF('[1]Map_Meso-Ox'!$C:$C,A494,'[1]Map_Meso-Ox'!$D:$D)</f>
        <v>#VALUE!</v>
      </c>
      <c r="K494" s="2" t="e">
        <f t="shared" si="14"/>
        <v>#VALUE!</v>
      </c>
      <c r="L494" s="1" t="e">
        <f>SUMIF('[1]Map_Meso-Ox'!$C:$C,A494,'[1]Map_Meso-Ox'!$E:$E)</f>
        <v>#VALUE!</v>
      </c>
      <c r="M494" s="2" t="e">
        <f t="shared" si="15"/>
        <v>#VALUE!</v>
      </c>
    </row>
    <row r="495" spans="1:13" x14ac:dyDescent="0.25">
      <c r="A495">
        <v>54</v>
      </c>
      <c r="B495">
        <v>1</v>
      </c>
      <c r="C495">
        <v>16.111000000000001</v>
      </c>
      <c r="D495">
        <v>0.2261</v>
      </c>
      <c r="E495" t="s">
        <v>9</v>
      </c>
      <c r="F495">
        <v>1</v>
      </c>
      <c r="G495">
        <f>COUNTIF(E:E,E495)</f>
        <v>110</v>
      </c>
      <c r="H495">
        <f>COUNTIFS(E:E,E495,A:A,A495,D:D,D495)</f>
        <v>1</v>
      </c>
      <c r="I495" t="e">
        <f>SUMIF([1]Mapeamento!$J:$J,A495,[1]Mapeamento!$L:$L)</f>
        <v>#VALUE!</v>
      </c>
      <c r="J495" s="1" t="e">
        <f>SUMIF('[1]Map_Meso-Ox'!$C:$C,A495,'[1]Map_Meso-Ox'!$D:$D)</f>
        <v>#VALUE!</v>
      </c>
      <c r="K495" s="2" t="e">
        <f t="shared" si="14"/>
        <v>#VALUE!</v>
      </c>
      <c r="L495" s="1" t="e">
        <f>SUMIF('[1]Map_Meso-Ox'!$C:$C,A495,'[1]Map_Meso-Ox'!$E:$E)</f>
        <v>#VALUE!</v>
      </c>
      <c r="M495" s="2" t="e">
        <f t="shared" si="15"/>
        <v>#VALUE!</v>
      </c>
    </row>
    <row r="496" spans="1:13" x14ac:dyDescent="0.25">
      <c r="A496">
        <v>55</v>
      </c>
      <c r="B496">
        <v>1</v>
      </c>
      <c r="C496">
        <v>9.5698000000000008</v>
      </c>
      <c r="D496">
        <v>0.3518</v>
      </c>
      <c r="E496" t="s">
        <v>9</v>
      </c>
      <c r="F496">
        <v>1</v>
      </c>
      <c r="G496">
        <f>COUNTIF(E:E,E496)</f>
        <v>110</v>
      </c>
      <c r="H496">
        <f>COUNTIFS(E:E,E496,A:A,A496,D:D,D496)</f>
        <v>1</v>
      </c>
      <c r="I496" t="e">
        <f>SUMIF([1]Mapeamento!$J:$J,A496,[1]Mapeamento!$L:$L)</f>
        <v>#VALUE!</v>
      </c>
      <c r="J496" s="1" t="e">
        <f>SUMIF('[1]Map_Meso-Ox'!$C:$C,A496,'[1]Map_Meso-Ox'!$D:$D)</f>
        <v>#VALUE!</v>
      </c>
      <c r="K496" s="2" t="e">
        <f t="shared" si="14"/>
        <v>#VALUE!</v>
      </c>
      <c r="L496" s="1" t="e">
        <f>SUMIF('[1]Map_Meso-Ox'!$C:$C,A496,'[1]Map_Meso-Ox'!$E:$E)</f>
        <v>#VALUE!</v>
      </c>
      <c r="M496" s="2" t="e">
        <f t="shared" si="15"/>
        <v>#VALUE!</v>
      </c>
    </row>
    <row r="497" spans="1:13" x14ac:dyDescent="0.25">
      <c r="A497">
        <v>56</v>
      </c>
      <c r="B497">
        <v>1</v>
      </c>
      <c r="C497">
        <v>15.856</v>
      </c>
      <c r="D497">
        <v>0.15579999999999999</v>
      </c>
      <c r="E497" t="s">
        <v>9</v>
      </c>
      <c r="F497">
        <v>1</v>
      </c>
      <c r="G497">
        <f>COUNTIF(E:E,E497)</f>
        <v>110</v>
      </c>
      <c r="H497">
        <f>COUNTIFS(E:E,E497,A:A,A497,D:D,D497)</f>
        <v>1</v>
      </c>
      <c r="I497" t="e">
        <f>SUMIF([1]Mapeamento!$J:$J,A497,[1]Mapeamento!$L:$L)</f>
        <v>#VALUE!</v>
      </c>
      <c r="J497" s="1" t="e">
        <f>SUMIF('[1]Map_Meso-Ox'!$C:$C,A497,'[1]Map_Meso-Ox'!$D:$D)</f>
        <v>#VALUE!</v>
      </c>
      <c r="K497" s="2" t="e">
        <f t="shared" si="14"/>
        <v>#VALUE!</v>
      </c>
      <c r="L497" s="1" t="e">
        <f>SUMIF('[1]Map_Meso-Ox'!$C:$C,A497,'[1]Map_Meso-Ox'!$E:$E)</f>
        <v>#VALUE!</v>
      </c>
      <c r="M497" s="2" t="e">
        <f t="shared" si="15"/>
        <v>#VALUE!</v>
      </c>
    </row>
    <row r="498" spans="1:13" x14ac:dyDescent="0.25">
      <c r="A498">
        <v>57</v>
      </c>
      <c r="B498">
        <v>1</v>
      </c>
      <c r="C498">
        <v>27.154</v>
      </c>
      <c r="D498">
        <v>1.01E-2</v>
      </c>
      <c r="E498" t="s">
        <v>9</v>
      </c>
      <c r="F498">
        <v>0</v>
      </c>
      <c r="G498">
        <f>COUNTIF(E:E,E498)</f>
        <v>110</v>
      </c>
      <c r="H498">
        <f>COUNTIFS(E:E,E498,A:A,A498,D:D,D498)</f>
        <v>1</v>
      </c>
      <c r="I498" t="e">
        <f>SUMIF([1]Mapeamento!$J:$J,A498,[1]Mapeamento!$L:$L)</f>
        <v>#VALUE!</v>
      </c>
      <c r="J498" s="1" t="e">
        <f>SUMIF('[1]Map_Meso-Ox'!$C:$C,A498,'[1]Map_Meso-Ox'!$D:$D)</f>
        <v>#VALUE!</v>
      </c>
      <c r="K498" s="2" t="e">
        <f t="shared" si="14"/>
        <v>#VALUE!</v>
      </c>
      <c r="L498" s="1" t="e">
        <f>SUMIF('[1]Map_Meso-Ox'!$C:$C,A498,'[1]Map_Meso-Ox'!$E:$E)</f>
        <v>#VALUE!</v>
      </c>
      <c r="M498" s="2" t="e">
        <f t="shared" si="15"/>
        <v>#VALUE!</v>
      </c>
    </row>
    <row r="499" spans="1:13" x14ac:dyDescent="0.25">
      <c r="A499">
        <v>58</v>
      </c>
      <c r="B499">
        <v>1</v>
      </c>
      <c r="C499">
        <v>12.504</v>
      </c>
      <c r="D499">
        <v>0.1759</v>
      </c>
      <c r="E499" t="s">
        <v>9</v>
      </c>
      <c r="F499">
        <v>1</v>
      </c>
      <c r="G499">
        <f>COUNTIF(E:E,E499)</f>
        <v>110</v>
      </c>
      <c r="H499">
        <f>COUNTIFS(E:E,E499,A:A,A499,D:D,D499)</f>
        <v>1</v>
      </c>
      <c r="I499" t="e">
        <f>SUMIF([1]Mapeamento!$J:$J,A499,[1]Mapeamento!$L:$L)</f>
        <v>#VALUE!</v>
      </c>
      <c r="J499" s="1" t="e">
        <f>SUMIF('[1]Map_Meso-Ox'!$C:$C,A499,'[1]Map_Meso-Ox'!$D:$D)</f>
        <v>#VALUE!</v>
      </c>
      <c r="K499" s="2" t="e">
        <f t="shared" si="14"/>
        <v>#VALUE!</v>
      </c>
      <c r="L499" s="1" t="e">
        <f>SUMIF('[1]Map_Meso-Ox'!$C:$C,A499,'[1]Map_Meso-Ox'!$E:$E)</f>
        <v>#VALUE!</v>
      </c>
      <c r="M499" s="2" t="e">
        <f t="shared" si="15"/>
        <v>#VALUE!</v>
      </c>
    </row>
    <row r="500" spans="1:13" x14ac:dyDescent="0.25">
      <c r="A500">
        <v>59</v>
      </c>
      <c r="B500">
        <v>1</v>
      </c>
      <c r="C500">
        <v>6.8901000000000003</v>
      </c>
      <c r="D500">
        <v>0.57789999999999997</v>
      </c>
      <c r="E500" t="s">
        <v>9</v>
      </c>
      <c r="F500">
        <v>1</v>
      </c>
      <c r="G500">
        <f>COUNTIF(E:E,E500)</f>
        <v>110</v>
      </c>
      <c r="H500">
        <f>COUNTIFS(E:E,E500,A:A,A500,D:D,D500)</f>
        <v>1</v>
      </c>
      <c r="I500" t="e">
        <f>SUMIF([1]Mapeamento!$J:$J,A500,[1]Mapeamento!$L:$L)</f>
        <v>#VALUE!</v>
      </c>
      <c r="J500" s="1" t="e">
        <f>SUMIF('[1]Map_Meso-Ox'!$C:$C,A500,'[1]Map_Meso-Ox'!$D:$D)</f>
        <v>#VALUE!</v>
      </c>
      <c r="K500" s="2" t="e">
        <f t="shared" si="14"/>
        <v>#VALUE!</v>
      </c>
      <c r="L500" s="1" t="e">
        <f>SUMIF('[1]Map_Meso-Ox'!$C:$C,A500,'[1]Map_Meso-Ox'!$E:$E)</f>
        <v>#VALUE!</v>
      </c>
      <c r="M500" s="2" t="e">
        <f t="shared" si="15"/>
        <v>#VALUE!</v>
      </c>
    </row>
    <row r="501" spans="1:13" x14ac:dyDescent="0.25">
      <c r="A501">
        <v>60</v>
      </c>
      <c r="B501">
        <v>1</v>
      </c>
      <c r="C501">
        <v>14.443</v>
      </c>
      <c r="D501">
        <v>7.5399999999999995E-2</v>
      </c>
      <c r="E501" t="s">
        <v>9</v>
      </c>
      <c r="F501">
        <v>1</v>
      </c>
      <c r="G501">
        <f>COUNTIF(E:E,E501)</f>
        <v>110</v>
      </c>
      <c r="H501">
        <f>COUNTIFS(E:E,E501,A:A,A501,D:D,D501)</f>
        <v>1</v>
      </c>
      <c r="I501" t="e">
        <f>SUMIF([1]Mapeamento!$J:$J,A501,[1]Mapeamento!$L:$L)</f>
        <v>#VALUE!</v>
      </c>
      <c r="J501" s="1" t="e">
        <f>SUMIF('[1]Map_Meso-Ox'!$C:$C,A501,'[1]Map_Meso-Ox'!$D:$D)</f>
        <v>#VALUE!</v>
      </c>
      <c r="K501" s="2" t="e">
        <f t="shared" si="14"/>
        <v>#VALUE!</v>
      </c>
      <c r="L501" s="1" t="e">
        <f>SUMIF('[1]Map_Meso-Ox'!$C:$C,A501,'[1]Map_Meso-Ox'!$E:$E)</f>
        <v>#VALUE!</v>
      </c>
      <c r="M501" s="2" t="e">
        <f t="shared" si="15"/>
        <v>#VALUE!</v>
      </c>
    </row>
    <row r="502" spans="1:13" x14ac:dyDescent="0.25">
      <c r="A502">
        <v>61</v>
      </c>
      <c r="B502">
        <v>1</v>
      </c>
      <c r="C502">
        <v>18.033000000000001</v>
      </c>
      <c r="D502">
        <v>0.26629999999999998</v>
      </c>
      <c r="E502" t="s">
        <v>9</v>
      </c>
      <c r="F502">
        <v>0</v>
      </c>
      <c r="G502">
        <f>COUNTIF(E:E,E502)</f>
        <v>110</v>
      </c>
      <c r="H502">
        <f>COUNTIFS(E:E,E502,A:A,A502,D:D,D502)</f>
        <v>1</v>
      </c>
      <c r="I502" t="e">
        <f>SUMIF([1]Mapeamento!$J:$J,A502,[1]Mapeamento!$L:$L)</f>
        <v>#VALUE!</v>
      </c>
      <c r="J502" s="1" t="e">
        <f>SUMIF('[1]Map_Meso-Ox'!$C:$C,A502,'[1]Map_Meso-Ox'!$D:$D)</f>
        <v>#VALUE!</v>
      </c>
      <c r="K502" s="2" t="e">
        <f t="shared" si="14"/>
        <v>#VALUE!</v>
      </c>
      <c r="L502" s="1" t="e">
        <f>SUMIF('[1]Map_Meso-Ox'!$C:$C,A502,'[1]Map_Meso-Ox'!$E:$E)</f>
        <v>#VALUE!</v>
      </c>
      <c r="M502" s="2" t="e">
        <f t="shared" si="15"/>
        <v>#VALUE!</v>
      </c>
    </row>
    <row r="503" spans="1:13" x14ac:dyDescent="0.25">
      <c r="A503">
        <v>62</v>
      </c>
      <c r="B503">
        <v>1</v>
      </c>
      <c r="C503">
        <v>28.082000000000001</v>
      </c>
      <c r="D503">
        <v>2.5100000000000001E-2</v>
      </c>
      <c r="E503" t="s">
        <v>9</v>
      </c>
      <c r="F503">
        <v>1</v>
      </c>
      <c r="G503">
        <f>COUNTIF(E:E,E503)</f>
        <v>110</v>
      </c>
      <c r="H503">
        <f>COUNTIFS(E:E,E503,A:A,A503,D:D,D503)</f>
        <v>1</v>
      </c>
      <c r="I503" t="e">
        <f>SUMIF([1]Mapeamento!$J:$J,A503,[1]Mapeamento!$L:$L)</f>
        <v>#VALUE!</v>
      </c>
      <c r="J503" s="1" t="e">
        <f>SUMIF('[1]Map_Meso-Ox'!$C:$C,A503,'[1]Map_Meso-Ox'!$D:$D)</f>
        <v>#VALUE!</v>
      </c>
      <c r="K503" s="2" t="e">
        <f t="shared" si="14"/>
        <v>#VALUE!</v>
      </c>
      <c r="L503" s="1" t="e">
        <f>SUMIF('[1]Map_Meso-Ox'!$C:$C,A503,'[1]Map_Meso-Ox'!$E:$E)</f>
        <v>#VALUE!</v>
      </c>
      <c r="M503" s="2" t="e">
        <f t="shared" si="15"/>
        <v>#VALUE!</v>
      </c>
    </row>
    <row r="504" spans="1:13" x14ac:dyDescent="0.25">
      <c r="A504">
        <v>63</v>
      </c>
      <c r="B504">
        <v>1</v>
      </c>
      <c r="C504">
        <v>10.134</v>
      </c>
      <c r="D504">
        <v>0.31659999999999999</v>
      </c>
      <c r="E504" t="s">
        <v>9</v>
      </c>
      <c r="F504">
        <v>1</v>
      </c>
      <c r="G504">
        <f>COUNTIF(E:E,E504)</f>
        <v>110</v>
      </c>
      <c r="H504">
        <f>COUNTIFS(E:E,E504,A:A,A504,D:D,D504)</f>
        <v>1</v>
      </c>
      <c r="I504" t="e">
        <f>SUMIF([1]Mapeamento!$J:$J,A504,[1]Mapeamento!$L:$L)</f>
        <v>#VALUE!</v>
      </c>
      <c r="J504" s="1" t="e">
        <f>SUMIF('[1]Map_Meso-Ox'!$C:$C,A504,'[1]Map_Meso-Ox'!$D:$D)</f>
        <v>#VALUE!</v>
      </c>
      <c r="K504" s="2" t="e">
        <f t="shared" si="14"/>
        <v>#VALUE!</v>
      </c>
      <c r="L504" s="1" t="e">
        <f>SUMIF('[1]Map_Meso-Ox'!$C:$C,A504,'[1]Map_Meso-Ox'!$E:$E)</f>
        <v>#VALUE!</v>
      </c>
      <c r="M504" s="2" t="e">
        <f t="shared" si="15"/>
        <v>#VALUE!</v>
      </c>
    </row>
    <row r="505" spans="1:13" x14ac:dyDescent="0.25">
      <c r="A505">
        <v>64</v>
      </c>
      <c r="B505">
        <v>1</v>
      </c>
      <c r="C505">
        <v>22.559000000000001</v>
      </c>
      <c r="D505">
        <v>6.0299999999999999E-2</v>
      </c>
      <c r="E505" t="s">
        <v>9</v>
      </c>
      <c r="F505">
        <v>0</v>
      </c>
      <c r="G505">
        <f>COUNTIF(E:E,E505)</f>
        <v>110</v>
      </c>
      <c r="H505">
        <f>COUNTIFS(E:E,E505,A:A,A505,D:D,D505)</f>
        <v>1</v>
      </c>
      <c r="I505" t="e">
        <f>SUMIF([1]Mapeamento!$J:$J,A505,[1]Mapeamento!$L:$L)</f>
        <v>#VALUE!</v>
      </c>
      <c r="J505" s="1" t="e">
        <f>SUMIF('[1]Map_Meso-Ox'!$C:$C,A505,'[1]Map_Meso-Ox'!$D:$D)</f>
        <v>#VALUE!</v>
      </c>
      <c r="K505" s="2" t="e">
        <f t="shared" si="14"/>
        <v>#VALUE!</v>
      </c>
      <c r="L505" s="1" t="e">
        <f>SUMIF('[1]Map_Meso-Ox'!$C:$C,A505,'[1]Map_Meso-Ox'!$E:$E)</f>
        <v>#VALUE!</v>
      </c>
      <c r="M505" s="2" t="e">
        <f t="shared" si="15"/>
        <v>#VALUE!</v>
      </c>
    </row>
    <row r="506" spans="1:13" x14ac:dyDescent="0.25">
      <c r="A506">
        <v>65</v>
      </c>
      <c r="B506">
        <v>1</v>
      </c>
      <c r="C506">
        <v>18.38</v>
      </c>
      <c r="D506">
        <v>1.5100000000000001E-2</v>
      </c>
      <c r="E506" t="s">
        <v>9</v>
      </c>
      <c r="F506">
        <v>2</v>
      </c>
      <c r="G506">
        <f>COUNTIF(E:E,E506)</f>
        <v>110</v>
      </c>
      <c r="H506">
        <f>COUNTIFS(E:E,E506,A:A,A506,D:D,D506)</f>
        <v>1</v>
      </c>
      <c r="I506" t="e">
        <f>SUMIF([1]Mapeamento!$J:$J,A506,[1]Mapeamento!$L:$L)</f>
        <v>#VALUE!</v>
      </c>
      <c r="J506" s="1" t="e">
        <f>SUMIF('[1]Map_Meso-Ox'!$C:$C,A506,'[1]Map_Meso-Ox'!$D:$D)</f>
        <v>#VALUE!</v>
      </c>
      <c r="K506" s="2" t="e">
        <f t="shared" si="14"/>
        <v>#VALUE!</v>
      </c>
      <c r="L506" s="1" t="e">
        <f>SUMIF('[1]Map_Meso-Ox'!$C:$C,A506,'[1]Map_Meso-Ox'!$E:$E)</f>
        <v>#VALUE!</v>
      </c>
      <c r="M506" s="2" t="e">
        <f t="shared" si="15"/>
        <v>#VALUE!</v>
      </c>
    </row>
    <row r="507" spans="1:13" x14ac:dyDescent="0.25">
      <c r="A507">
        <v>66</v>
      </c>
      <c r="B507">
        <v>1</v>
      </c>
      <c r="C507">
        <v>30.452000000000002</v>
      </c>
      <c r="D507">
        <v>0</v>
      </c>
      <c r="E507" t="s">
        <v>9</v>
      </c>
      <c r="F507">
        <v>1</v>
      </c>
      <c r="G507">
        <f>COUNTIF(E:E,E507)</f>
        <v>110</v>
      </c>
      <c r="H507">
        <f>COUNTIFS(E:E,E507,A:A,A507,D:D,D507)</f>
        <v>1</v>
      </c>
      <c r="I507" t="e">
        <f>SUMIF([1]Mapeamento!$J:$J,A507,[1]Mapeamento!$L:$L)</f>
        <v>#VALUE!</v>
      </c>
      <c r="J507" s="1" t="e">
        <f>SUMIF('[1]Map_Meso-Ox'!$C:$C,A507,'[1]Map_Meso-Ox'!$D:$D)</f>
        <v>#VALUE!</v>
      </c>
      <c r="K507" s="2" t="e">
        <f t="shared" si="14"/>
        <v>#VALUE!</v>
      </c>
      <c r="L507" s="1" t="e">
        <f>SUMIF('[1]Map_Meso-Ox'!$C:$C,A507,'[1]Map_Meso-Ox'!$E:$E)</f>
        <v>#VALUE!</v>
      </c>
      <c r="M507" s="2" t="e">
        <f t="shared" si="15"/>
        <v>#VALUE!</v>
      </c>
    </row>
    <row r="508" spans="1:13" x14ac:dyDescent="0.25">
      <c r="A508">
        <v>67</v>
      </c>
      <c r="B508">
        <v>1</v>
      </c>
      <c r="C508">
        <v>11.769</v>
      </c>
      <c r="D508">
        <v>0.1457</v>
      </c>
      <c r="E508" t="s">
        <v>9</v>
      </c>
      <c r="F508">
        <v>1</v>
      </c>
      <c r="G508">
        <f>COUNTIF(E:E,E508)</f>
        <v>110</v>
      </c>
      <c r="H508">
        <f>COUNTIFS(E:E,E508,A:A,A508,D:D,D508)</f>
        <v>1</v>
      </c>
      <c r="I508" t="e">
        <f>SUMIF([1]Mapeamento!$J:$J,A508,[1]Mapeamento!$L:$L)</f>
        <v>#VALUE!</v>
      </c>
      <c r="J508" s="1" t="e">
        <f>SUMIF('[1]Map_Meso-Ox'!$C:$C,A508,'[1]Map_Meso-Ox'!$D:$D)</f>
        <v>#VALUE!</v>
      </c>
      <c r="K508" s="2" t="e">
        <f t="shared" si="14"/>
        <v>#VALUE!</v>
      </c>
      <c r="L508" s="1" t="e">
        <f>SUMIF('[1]Map_Meso-Ox'!$C:$C,A508,'[1]Map_Meso-Ox'!$E:$E)</f>
        <v>#VALUE!</v>
      </c>
      <c r="M508" s="2" t="e">
        <f t="shared" si="15"/>
        <v>#VALUE!</v>
      </c>
    </row>
    <row r="509" spans="1:13" x14ac:dyDescent="0.25">
      <c r="A509">
        <v>68</v>
      </c>
      <c r="B509">
        <v>1</v>
      </c>
      <c r="C509">
        <v>10.238</v>
      </c>
      <c r="D509">
        <v>0.20599999999999999</v>
      </c>
      <c r="E509" t="s">
        <v>9</v>
      </c>
      <c r="F509">
        <v>3</v>
      </c>
      <c r="G509">
        <f>COUNTIF(E:E,E509)</f>
        <v>110</v>
      </c>
      <c r="H509">
        <f>COUNTIFS(E:E,E509,A:A,A509,D:D,D509)</f>
        <v>1</v>
      </c>
      <c r="I509" t="e">
        <f>SUMIF([1]Mapeamento!$J:$J,A509,[1]Mapeamento!$L:$L)</f>
        <v>#VALUE!</v>
      </c>
      <c r="J509" s="1" t="e">
        <f>SUMIF('[1]Map_Meso-Ox'!$C:$C,A509,'[1]Map_Meso-Ox'!$D:$D)</f>
        <v>#VALUE!</v>
      </c>
      <c r="K509" s="2" t="e">
        <f t="shared" si="14"/>
        <v>#VALUE!</v>
      </c>
      <c r="L509" s="1" t="e">
        <f>SUMIF('[1]Map_Meso-Ox'!$C:$C,A509,'[1]Map_Meso-Ox'!$E:$E)</f>
        <v>#VALUE!</v>
      </c>
      <c r="M509" s="2" t="e">
        <f t="shared" si="15"/>
        <v>#VALUE!</v>
      </c>
    </row>
    <row r="510" spans="1:13" x14ac:dyDescent="0.25">
      <c r="A510">
        <v>69</v>
      </c>
      <c r="B510">
        <v>1</v>
      </c>
      <c r="C510">
        <v>15.393000000000001</v>
      </c>
      <c r="D510">
        <v>9.0499999999999997E-2</v>
      </c>
      <c r="E510" t="s">
        <v>9</v>
      </c>
      <c r="F510">
        <v>0</v>
      </c>
      <c r="G510">
        <f>COUNTIF(E:E,E510)</f>
        <v>110</v>
      </c>
      <c r="H510">
        <f>COUNTIFS(E:E,E510,A:A,A510,D:D,D510)</f>
        <v>1</v>
      </c>
      <c r="I510" t="e">
        <f>SUMIF([1]Mapeamento!$J:$J,A510,[1]Mapeamento!$L:$L)</f>
        <v>#VALUE!</v>
      </c>
      <c r="J510" s="1" t="e">
        <f>SUMIF('[1]Map_Meso-Ox'!$C:$C,A510,'[1]Map_Meso-Ox'!$D:$D)</f>
        <v>#VALUE!</v>
      </c>
      <c r="K510" s="2" t="e">
        <f t="shared" si="14"/>
        <v>#VALUE!</v>
      </c>
      <c r="L510" s="1" t="e">
        <f>SUMIF('[1]Map_Meso-Ox'!$C:$C,A510,'[1]Map_Meso-Ox'!$E:$E)</f>
        <v>#VALUE!</v>
      </c>
      <c r="M510" s="2" t="e">
        <f t="shared" si="15"/>
        <v>#VALUE!</v>
      </c>
    </row>
    <row r="511" spans="1:13" x14ac:dyDescent="0.25">
      <c r="A511">
        <v>70</v>
      </c>
      <c r="B511">
        <v>1</v>
      </c>
      <c r="C511">
        <v>29.216000000000001</v>
      </c>
      <c r="D511">
        <v>0</v>
      </c>
      <c r="E511" t="s">
        <v>9</v>
      </c>
      <c r="F511">
        <v>1</v>
      </c>
      <c r="G511">
        <f>COUNTIF(E:E,E511)</f>
        <v>110</v>
      </c>
      <c r="H511">
        <f>COUNTIFS(E:E,E511,A:A,A511,D:D,D511)</f>
        <v>1</v>
      </c>
      <c r="I511" t="e">
        <f>SUMIF([1]Mapeamento!$J:$J,A511,[1]Mapeamento!$L:$L)</f>
        <v>#VALUE!</v>
      </c>
      <c r="J511" s="1" t="e">
        <f>SUMIF('[1]Map_Meso-Ox'!$C:$C,A511,'[1]Map_Meso-Ox'!$D:$D)</f>
        <v>#VALUE!</v>
      </c>
      <c r="K511" s="2" t="e">
        <f t="shared" si="14"/>
        <v>#VALUE!</v>
      </c>
      <c r="L511" s="1" t="e">
        <f>SUMIF('[1]Map_Meso-Ox'!$C:$C,A511,'[1]Map_Meso-Ox'!$E:$E)</f>
        <v>#VALUE!</v>
      </c>
      <c r="M511" s="2" t="e">
        <f t="shared" si="15"/>
        <v>#VALUE!</v>
      </c>
    </row>
    <row r="512" spans="1:13" x14ac:dyDescent="0.25">
      <c r="A512">
        <v>71</v>
      </c>
      <c r="B512">
        <v>1</v>
      </c>
      <c r="C512">
        <v>0.78771999999999998</v>
      </c>
      <c r="D512">
        <v>1</v>
      </c>
      <c r="E512" t="s">
        <v>9</v>
      </c>
      <c r="F512">
        <v>2</v>
      </c>
      <c r="G512">
        <f>COUNTIF(E:E,E512)</f>
        <v>110</v>
      </c>
      <c r="H512">
        <f>COUNTIFS(E:E,E512,A:A,A512,D:D,D512)</f>
        <v>1</v>
      </c>
      <c r="I512" t="e">
        <f>SUMIF([1]Mapeamento!$J:$J,A512,[1]Mapeamento!$L:$L)</f>
        <v>#VALUE!</v>
      </c>
      <c r="J512" s="1" t="e">
        <f>SUMIF('[1]Map_Meso-Ox'!$C:$C,A512,'[1]Map_Meso-Ox'!$D:$D)</f>
        <v>#VALUE!</v>
      </c>
      <c r="K512" s="2" t="e">
        <f t="shared" si="14"/>
        <v>#VALUE!</v>
      </c>
      <c r="L512" s="1" t="e">
        <f>SUMIF('[1]Map_Meso-Ox'!$C:$C,A512,'[1]Map_Meso-Ox'!$E:$E)</f>
        <v>#VALUE!</v>
      </c>
      <c r="M512" s="2" t="e">
        <f t="shared" si="15"/>
        <v>#VALUE!</v>
      </c>
    </row>
    <row r="513" spans="1:13" x14ac:dyDescent="0.25">
      <c r="A513">
        <v>72</v>
      </c>
      <c r="B513">
        <v>1</v>
      </c>
      <c r="C513">
        <v>9.5777000000000001</v>
      </c>
      <c r="D513">
        <v>0.36680000000000001</v>
      </c>
      <c r="E513" t="s">
        <v>9</v>
      </c>
      <c r="F513">
        <v>1</v>
      </c>
      <c r="G513">
        <f>COUNTIF(E:E,E513)</f>
        <v>110</v>
      </c>
      <c r="H513">
        <f>COUNTIFS(E:E,E513,A:A,A513,D:D,D513)</f>
        <v>1</v>
      </c>
      <c r="I513" t="e">
        <f>SUMIF([1]Mapeamento!$J:$J,A513,[1]Mapeamento!$L:$L)</f>
        <v>#VALUE!</v>
      </c>
      <c r="J513" s="1" t="e">
        <f>SUMIF('[1]Map_Meso-Ox'!$C:$C,A513,'[1]Map_Meso-Ox'!$D:$D)</f>
        <v>#VALUE!</v>
      </c>
      <c r="K513" s="2" t="e">
        <f t="shared" si="14"/>
        <v>#VALUE!</v>
      </c>
      <c r="L513" s="1" t="e">
        <f>SUMIF('[1]Map_Meso-Ox'!$C:$C,A513,'[1]Map_Meso-Ox'!$E:$E)</f>
        <v>#VALUE!</v>
      </c>
      <c r="M513" s="2" t="e">
        <f t="shared" si="15"/>
        <v>#VALUE!</v>
      </c>
    </row>
    <row r="514" spans="1:13" x14ac:dyDescent="0.25">
      <c r="A514">
        <v>73</v>
      </c>
      <c r="B514">
        <v>1</v>
      </c>
      <c r="C514">
        <v>27.227</v>
      </c>
      <c r="D514">
        <v>1.01E-2</v>
      </c>
      <c r="E514" t="s">
        <v>9</v>
      </c>
      <c r="F514">
        <v>2</v>
      </c>
      <c r="G514">
        <f>COUNTIF(E:E,E514)</f>
        <v>110</v>
      </c>
      <c r="H514">
        <f>COUNTIFS(E:E,E514,A:A,A514,D:D,D514)</f>
        <v>1</v>
      </c>
      <c r="I514" t="e">
        <f>SUMIF([1]Mapeamento!$J:$J,A514,[1]Mapeamento!$L:$L)</f>
        <v>#VALUE!</v>
      </c>
      <c r="J514" s="1" t="e">
        <f>SUMIF('[1]Map_Meso-Ox'!$C:$C,A514,'[1]Map_Meso-Ox'!$D:$D)</f>
        <v>#VALUE!</v>
      </c>
      <c r="K514" s="2" t="e">
        <f t="shared" si="14"/>
        <v>#VALUE!</v>
      </c>
      <c r="L514" s="1" t="e">
        <f>SUMIF('[1]Map_Meso-Ox'!$C:$C,A514,'[1]Map_Meso-Ox'!$E:$E)</f>
        <v>#VALUE!</v>
      </c>
      <c r="M514" s="2" t="e">
        <f t="shared" si="15"/>
        <v>#VALUE!</v>
      </c>
    </row>
    <row r="515" spans="1:13" x14ac:dyDescent="0.25">
      <c r="A515">
        <v>74</v>
      </c>
      <c r="B515">
        <v>1</v>
      </c>
      <c r="C515">
        <v>13.606</v>
      </c>
      <c r="D515">
        <v>0.31659999999999999</v>
      </c>
      <c r="E515" t="s">
        <v>9</v>
      </c>
      <c r="F515">
        <v>0</v>
      </c>
      <c r="G515">
        <f>COUNTIF(E:E,E515)</f>
        <v>110</v>
      </c>
      <c r="H515">
        <f>COUNTIFS(E:E,E515,A:A,A515,D:D,D515)</f>
        <v>1</v>
      </c>
      <c r="I515" t="e">
        <f>SUMIF([1]Mapeamento!$J:$J,A515,[1]Mapeamento!$L:$L)</f>
        <v>#VALUE!</v>
      </c>
      <c r="J515" s="1" t="e">
        <f>SUMIF('[1]Map_Meso-Ox'!$C:$C,A515,'[1]Map_Meso-Ox'!$D:$D)</f>
        <v>#VALUE!</v>
      </c>
      <c r="K515" s="2" t="e">
        <f t="shared" ref="K515:K551" si="16">J515/203401269</f>
        <v>#VALUE!</v>
      </c>
      <c r="L515" s="1" t="e">
        <f>SUMIF('[1]Map_Meso-Ox'!$C:$C,A515,'[1]Map_Meso-Ox'!$E:$E)</f>
        <v>#VALUE!</v>
      </c>
      <c r="M515" s="2" t="e">
        <f t="shared" ref="M515:M551" si="17">L515/3868725997.715</f>
        <v>#VALUE!</v>
      </c>
    </row>
    <row r="516" spans="1:13" x14ac:dyDescent="0.25">
      <c r="A516">
        <v>75</v>
      </c>
      <c r="B516">
        <v>1</v>
      </c>
      <c r="C516">
        <v>39.829000000000001</v>
      </c>
      <c r="D516">
        <v>5.0000000000000001E-3</v>
      </c>
      <c r="E516" t="s">
        <v>9</v>
      </c>
      <c r="F516">
        <v>1</v>
      </c>
      <c r="G516">
        <f>COUNTIF(E:E,E516)</f>
        <v>110</v>
      </c>
      <c r="H516">
        <f>COUNTIFS(E:E,E516,A:A,A516,D:D,D516)</f>
        <v>1</v>
      </c>
      <c r="I516" t="e">
        <f>SUMIF([1]Mapeamento!$J:$J,A516,[1]Mapeamento!$L:$L)</f>
        <v>#VALUE!</v>
      </c>
      <c r="J516" s="1" t="e">
        <f>SUMIF('[1]Map_Meso-Ox'!$C:$C,A516,'[1]Map_Meso-Ox'!$D:$D)</f>
        <v>#VALUE!</v>
      </c>
      <c r="K516" s="2" t="e">
        <f t="shared" si="16"/>
        <v>#VALUE!</v>
      </c>
      <c r="L516" s="1" t="e">
        <f>SUMIF('[1]Map_Meso-Ox'!$C:$C,A516,'[1]Map_Meso-Ox'!$E:$E)</f>
        <v>#VALUE!</v>
      </c>
      <c r="M516" s="2" t="e">
        <f t="shared" si="17"/>
        <v>#VALUE!</v>
      </c>
    </row>
    <row r="517" spans="1:13" x14ac:dyDescent="0.25">
      <c r="A517">
        <v>76</v>
      </c>
      <c r="B517">
        <v>1</v>
      </c>
      <c r="C517">
        <v>21.443999999999999</v>
      </c>
      <c r="D517">
        <v>1.5100000000000001E-2</v>
      </c>
      <c r="E517" t="s">
        <v>9</v>
      </c>
      <c r="F517">
        <v>1</v>
      </c>
      <c r="G517">
        <f>COUNTIF(E:E,E517)</f>
        <v>110</v>
      </c>
      <c r="H517">
        <f>COUNTIFS(E:E,E517,A:A,A517,D:D,D517)</f>
        <v>1</v>
      </c>
      <c r="I517" t="e">
        <f>SUMIF([1]Mapeamento!$J:$J,A517,[1]Mapeamento!$L:$L)</f>
        <v>#VALUE!</v>
      </c>
      <c r="J517" s="1" t="e">
        <f>SUMIF('[1]Map_Meso-Ox'!$C:$C,A517,'[1]Map_Meso-Ox'!$D:$D)</f>
        <v>#VALUE!</v>
      </c>
      <c r="K517" s="2" t="e">
        <f t="shared" si="16"/>
        <v>#VALUE!</v>
      </c>
      <c r="L517" s="1" t="e">
        <f>SUMIF('[1]Map_Meso-Ox'!$C:$C,A517,'[1]Map_Meso-Ox'!$E:$E)</f>
        <v>#VALUE!</v>
      </c>
      <c r="M517" s="2" t="e">
        <f t="shared" si="17"/>
        <v>#VALUE!</v>
      </c>
    </row>
    <row r="518" spans="1:13" x14ac:dyDescent="0.25">
      <c r="A518">
        <v>77</v>
      </c>
      <c r="B518">
        <v>1</v>
      </c>
      <c r="C518">
        <v>27.204999999999998</v>
      </c>
      <c r="D518">
        <v>1.5100000000000001E-2</v>
      </c>
      <c r="E518" t="s">
        <v>9</v>
      </c>
      <c r="F518">
        <v>1</v>
      </c>
      <c r="G518">
        <f>COUNTIF(E:E,E518)</f>
        <v>110</v>
      </c>
      <c r="H518">
        <f>COUNTIFS(E:E,E518,A:A,A518,D:D,D518)</f>
        <v>1</v>
      </c>
      <c r="I518" t="e">
        <f>SUMIF([1]Mapeamento!$J:$J,A518,[1]Mapeamento!$L:$L)</f>
        <v>#VALUE!</v>
      </c>
      <c r="J518" s="1" t="e">
        <f>SUMIF('[1]Map_Meso-Ox'!$C:$C,A518,'[1]Map_Meso-Ox'!$D:$D)</f>
        <v>#VALUE!</v>
      </c>
      <c r="K518" s="2" t="e">
        <f t="shared" si="16"/>
        <v>#VALUE!</v>
      </c>
      <c r="L518" s="1" t="e">
        <f>SUMIF('[1]Map_Meso-Ox'!$C:$C,A518,'[1]Map_Meso-Ox'!$E:$E)</f>
        <v>#VALUE!</v>
      </c>
      <c r="M518" s="2" t="e">
        <f t="shared" si="17"/>
        <v>#VALUE!</v>
      </c>
    </row>
    <row r="519" spans="1:13" x14ac:dyDescent="0.25">
      <c r="A519">
        <v>78</v>
      </c>
      <c r="B519">
        <v>1</v>
      </c>
      <c r="C519">
        <v>14.398</v>
      </c>
      <c r="D519">
        <v>9.5500000000000002E-2</v>
      </c>
      <c r="E519" t="s">
        <v>9</v>
      </c>
      <c r="F519">
        <v>2</v>
      </c>
      <c r="G519">
        <f>COUNTIF(E:E,E519)</f>
        <v>110</v>
      </c>
      <c r="H519">
        <f>COUNTIFS(E:E,E519,A:A,A519,D:D,D519)</f>
        <v>1</v>
      </c>
      <c r="I519" t="e">
        <f>SUMIF([1]Mapeamento!$J:$J,A519,[1]Mapeamento!$L:$L)</f>
        <v>#VALUE!</v>
      </c>
      <c r="J519" s="1" t="e">
        <f>SUMIF('[1]Map_Meso-Ox'!$C:$C,A519,'[1]Map_Meso-Ox'!$D:$D)</f>
        <v>#VALUE!</v>
      </c>
      <c r="K519" s="2" t="e">
        <f t="shared" si="16"/>
        <v>#VALUE!</v>
      </c>
      <c r="L519" s="1" t="e">
        <f>SUMIF('[1]Map_Meso-Ox'!$C:$C,A519,'[1]Map_Meso-Ox'!$E:$E)</f>
        <v>#VALUE!</v>
      </c>
      <c r="M519" s="2" t="e">
        <f t="shared" si="17"/>
        <v>#VALUE!</v>
      </c>
    </row>
    <row r="520" spans="1:13" x14ac:dyDescent="0.25">
      <c r="A520">
        <v>79</v>
      </c>
      <c r="B520">
        <v>1</v>
      </c>
      <c r="C520">
        <v>15.471</v>
      </c>
      <c r="D520">
        <v>8.5400000000000004E-2</v>
      </c>
      <c r="E520" t="s">
        <v>9</v>
      </c>
      <c r="F520">
        <v>1</v>
      </c>
      <c r="G520">
        <f>COUNTIF(E:E,E520)</f>
        <v>110</v>
      </c>
      <c r="H520">
        <f>COUNTIFS(E:E,E520,A:A,A520,D:D,D520)</f>
        <v>1</v>
      </c>
      <c r="I520" t="e">
        <f>SUMIF([1]Mapeamento!$J:$J,A520,[1]Mapeamento!$L:$L)</f>
        <v>#VALUE!</v>
      </c>
      <c r="J520" s="1" t="e">
        <f>SUMIF('[1]Map_Meso-Ox'!$C:$C,A520,'[1]Map_Meso-Ox'!$D:$D)</f>
        <v>#VALUE!</v>
      </c>
      <c r="K520" s="2" t="e">
        <f t="shared" si="16"/>
        <v>#VALUE!</v>
      </c>
      <c r="L520" s="1" t="e">
        <f>SUMIF('[1]Map_Meso-Ox'!$C:$C,A520,'[1]Map_Meso-Ox'!$E:$E)</f>
        <v>#VALUE!</v>
      </c>
      <c r="M520" s="2" t="e">
        <f t="shared" si="17"/>
        <v>#VALUE!</v>
      </c>
    </row>
    <row r="521" spans="1:13" x14ac:dyDescent="0.25">
      <c r="A521">
        <v>80</v>
      </c>
      <c r="B521">
        <v>1</v>
      </c>
      <c r="C521">
        <v>4.3391000000000002</v>
      </c>
      <c r="D521">
        <v>0.80400000000000005</v>
      </c>
      <c r="E521" t="s">
        <v>9</v>
      </c>
      <c r="F521">
        <v>1</v>
      </c>
      <c r="G521">
        <f>COUNTIF(E:E,E521)</f>
        <v>110</v>
      </c>
      <c r="H521">
        <f>COUNTIFS(E:E,E521,A:A,A521,D:D,D521)</f>
        <v>1</v>
      </c>
      <c r="I521" t="e">
        <f>SUMIF([1]Mapeamento!$J:$J,A521,[1]Mapeamento!$L:$L)</f>
        <v>#VALUE!</v>
      </c>
      <c r="J521" s="1" t="e">
        <f>SUMIF('[1]Map_Meso-Ox'!$C:$C,A521,'[1]Map_Meso-Ox'!$D:$D)</f>
        <v>#VALUE!</v>
      </c>
      <c r="K521" s="2" t="e">
        <f t="shared" si="16"/>
        <v>#VALUE!</v>
      </c>
      <c r="L521" s="1" t="e">
        <f>SUMIF('[1]Map_Meso-Ox'!$C:$C,A521,'[1]Map_Meso-Ox'!$E:$E)</f>
        <v>#VALUE!</v>
      </c>
      <c r="M521" s="2" t="e">
        <f t="shared" si="17"/>
        <v>#VALUE!</v>
      </c>
    </row>
    <row r="522" spans="1:13" x14ac:dyDescent="0.25">
      <c r="A522">
        <v>81</v>
      </c>
      <c r="B522">
        <v>1</v>
      </c>
      <c r="C522">
        <v>29.035</v>
      </c>
      <c r="D522">
        <v>5.0000000000000001E-3</v>
      </c>
      <c r="E522" t="s">
        <v>9</v>
      </c>
      <c r="F522">
        <v>1</v>
      </c>
      <c r="G522">
        <f>COUNTIF(E:E,E522)</f>
        <v>110</v>
      </c>
      <c r="H522">
        <f>COUNTIFS(E:E,E522,A:A,A522,D:D,D522)</f>
        <v>1</v>
      </c>
      <c r="I522" t="e">
        <f>SUMIF([1]Mapeamento!$J:$J,A522,[1]Mapeamento!$L:$L)</f>
        <v>#VALUE!</v>
      </c>
      <c r="J522" s="1" t="e">
        <f>SUMIF('[1]Map_Meso-Ox'!$C:$C,A522,'[1]Map_Meso-Ox'!$D:$D)</f>
        <v>#VALUE!</v>
      </c>
      <c r="K522" s="2" t="e">
        <f t="shared" si="16"/>
        <v>#VALUE!</v>
      </c>
      <c r="L522" s="1" t="e">
        <f>SUMIF('[1]Map_Meso-Ox'!$C:$C,A522,'[1]Map_Meso-Ox'!$E:$E)</f>
        <v>#VALUE!</v>
      </c>
      <c r="M522" s="2" t="e">
        <f t="shared" si="17"/>
        <v>#VALUE!</v>
      </c>
    </row>
    <row r="523" spans="1:13" x14ac:dyDescent="0.25">
      <c r="A523">
        <v>82</v>
      </c>
      <c r="B523">
        <v>1</v>
      </c>
      <c r="C523">
        <v>10.798</v>
      </c>
      <c r="D523">
        <v>0.33169999999999999</v>
      </c>
      <c r="E523" t="s">
        <v>9</v>
      </c>
      <c r="F523">
        <v>1</v>
      </c>
      <c r="G523">
        <f>COUNTIF(E:E,E523)</f>
        <v>110</v>
      </c>
      <c r="H523">
        <f>COUNTIFS(E:E,E523,A:A,A523,D:D,D523)</f>
        <v>1</v>
      </c>
      <c r="I523" t="e">
        <f>SUMIF([1]Mapeamento!$J:$J,A523,[1]Mapeamento!$L:$L)</f>
        <v>#VALUE!</v>
      </c>
      <c r="J523" s="1" t="e">
        <f>SUMIF('[1]Map_Meso-Ox'!$C:$C,A523,'[1]Map_Meso-Ox'!$D:$D)</f>
        <v>#VALUE!</v>
      </c>
      <c r="K523" s="2" t="e">
        <f t="shared" si="16"/>
        <v>#VALUE!</v>
      </c>
      <c r="L523" s="1" t="e">
        <f>SUMIF('[1]Map_Meso-Ox'!$C:$C,A523,'[1]Map_Meso-Ox'!$E:$E)</f>
        <v>#VALUE!</v>
      </c>
      <c r="M523" s="2" t="e">
        <f t="shared" si="17"/>
        <v>#VALUE!</v>
      </c>
    </row>
    <row r="524" spans="1:13" x14ac:dyDescent="0.25">
      <c r="A524">
        <v>83</v>
      </c>
      <c r="B524">
        <v>1</v>
      </c>
      <c r="C524">
        <v>27.302</v>
      </c>
      <c r="D524">
        <v>5.0000000000000001E-3</v>
      </c>
      <c r="E524" t="s">
        <v>9</v>
      </c>
      <c r="F524">
        <v>1</v>
      </c>
      <c r="G524">
        <f>COUNTIF(E:E,E524)</f>
        <v>110</v>
      </c>
      <c r="H524">
        <f>COUNTIFS(E:E,E524,A:A,A524,D:D,D524)</f>
        <v>1</v>
      </c>
      <c r="I524" t="e">
        <f>SUMIF([1]Mapeamento!$J:$J,A524,[1]Mapeamento!$L:$L)</f>
        <v>#VALUE!</v>
      </c>
      <c r="J524" s="1" t="e">
        <f>SUMIF('[1]Map_Meso-Ox'!$C:$C,A524,'[1]Map_Meso-Ox'!$D:$D)</f>
        <v>#VALUE!</v>
      </c>
      <c r="K524" s="2" t="e">
        <f t="shared" si="16"/>
        <v>#VALUE!</v>
      </c>
      <c r="L524" s="1" t="e">
        <f>SUMIF('[1]Map_Meso-Ox'!$C:$C,A524,'[1]Map_Meso-Ox'!$E:$E)</f>
        <v>#VALUE!</v>
      </c>
      <c r="M524" s="2" t="e">
        <f t="shared" si="17"/>
        <v>#VALUE!</v>
      </c>
    </row>
    <row r="525" spans="1:13" x14ac:dyDescent="0.25">
      <c r="A525">
        <v>84</v>
      </c>
      <c r="B525">
        <v>1</v>
      </c>
      <c r="C525">
        <v>16.934000000000001</v>
      </c>
      <c r="D525">
        <v>8.0399999999999999E-2</v>
      </c>
      <c r="E525" t="s">
        <v>9</v>
      </c>
      <c r="F525">
        <v>2</v>
      </c>
      <c r="G525">
        <f>COUNTIF(E:E,E525)</f>
        <v>110</v>
      </c>
      <c r="H525">
        <f>COUNTIFS(E:E,E525,A:A,A525,D:D,D525)</f>
        <v>1</v>
      </c>
      <c r="I525" t="e">
        <f>SUMIF([1]Mapeamento!$J:$J,A525,[1]Mapeamento!$L:$L)</f>
        <v>#VALUE!</v>
      </c>
      <c r="J525" s="1" t="e">
        <f>SUMIF('[1]Map_Meso-Ox'!$C:$C,A525,'[1]Map_Meso-Ox'!$D:$D)</f>
        <v>#VALUE!</v>
      </c>
      <c r="K525" s="2" t="e">
        <f t="shared" si="16"/>
        <v>#VALUE!</v>
      </c>
      <c r="L525" s="1" t="e">
        <f>SUMIF('[1]Map_Meso-Ox'!$C:$C,A525,'[1]Map_Meso-Ox'!$E:$E)</f>
        <v>#VALUE!</v>
      </c>
      <c r="M525" s="2" t="e">
        <f t="shared" si="17"/>
        <v>#VALUE!</v>
      </c>
    </row>
    <row r="526" spans="1:13" x14ac:dyDescent="0.25">
      <c r="A526">
        <v>85</v>
      </c>
      <c r="B526">
        <v>1</v>
      </c>
      <c r="C526">
        <v>18.837</v>
      </c>
      <c r="D526">
        <v>3.5200000000000002E-2</v>
      </c>
      <c r="E526" t="s">
        <v>9</v>
      </c>
      <c r="F526">
        <v>1</v>
      </c>
      <c r="G526">
        <f>COUNTIF(E:E,E526)</f>
        <v>110</v>
      </c>
      <c r="H526">
        <f>COUNTIFS(E:E,E526,A:A,A526,D:D,D526)</f>
        <v>1</v>
      </c>
      <c r="I526" t="e">
        <f>SUMIF([1]Mapeamento!$J:$J,A526,[1]Mapeamento!$L:$L)</f>
        <v>#VALUE!</v>
      </c>
      <c r="J526" s="1" t="e">
        <f>SUMIF('[1]Map_Meso-Ox'!$C:$C,A526,'[1]Map_Meso-Ox'!$D:$D)</f>
        <v>#VALUE!</v>
      </c>
      <c r="K526" s="2" t="e">
        <f t="shared" si="16"/>
        <v>#VALUE!</v>
      </c>
      <c r="L526" s="1" t="e">
        <f>SUMIF('[1]Map_Meso-Ox'!$C:$C,A526,'[1]Map_Meso-Ox'!$E:$E)</f>
        <v>#VALUE!</v>
      </c>
      <c r="M526" s="2" t="e">
        <f t="shared" si="17"/>
        <v>#VALUE!</v>
      </c>
    </row>
    <row r="527" spans="1:13" x14ac:dyDescent="0.25">
      <c r="A527">
        <v>86</v>
      </c>
      <c r="B527">
        <v>1</v>
      </c>
      <c r="C527">
        <v>3.4862000000000002</v>
      </c>
      <c r="D527">
        <v>0.82909999999999995</v>
      </c>
      <c r="E527" t="s">
        <v>9</v>
      </c>
      <c r="F527">
        <v>1</v>
      </c>
      <c r="G527">
        <f>COUNTIF(E:E,E527)</f>
        <v>110</v>
      </c>
      <c r="H527">
        <f>COUNTIFS(E:E,E527,A:A,A527,D:D,D527)</f>
        <v>1</v>
      </c>
      <c r="I527" t="e">
        <f>SUMIF([1]Mapeamento!$J:$J,A527,[1]Mapeamento!$L:$L)</f>
        <v>#VALUE!</v>
      </c>
      <c r="J527" s="1" t="e">
        <f>SUMIF('[1]Map_Meso-Ox'!$C:$C,A527,'[1]Map_Meso-Ox'!$D:$D)</f>
        <v>#VALUE!</v>
      </c>
      <c r="K527" s="2" t="e">
        <f t="shared" si="16"/>
        <v>#VALUE!</v>
      </c>
      <c r="L527" s="1" t="e">
        <f>SUMIF('[1]Map_Meso-Ox'!$C:$C,A527,'[1]Map_Meso-Ox'!$E:$E)</f>
        <v>#VALUE!</v>
      </c>
      <c r="M527" s="2" t="e">
        <f t="shared" si="17"/>
        <v>#VALUE!</v>
      </c>
    </row>
    <row r="528" spans="1:13" x14ac:dyDescent="0.25">
      <c r="A528">
        <v>87</v>
      </c>
      <c r="B528">
        <v>1</v>
      </c>
      <c r="C528">
        <v>7.8973000000000004</v>
      </c>
      <c r="D528">
        <v>0.56279999999999997</v>
      </c>
      <c r="E528" t="s">
        <v>9</v>
      </c>
      <c r="F528">
        <v>0</v>
      </c>
      <c r="G528">
        <f>COUNTIF(E:E,E528)</f>
        <v>110</v>
      </c>
      <c r="H528">
        <f>COUNTIFS(E:E,E528,A:A,A528,D:D,D528)</f>
        <v>1</v>
      </c>
      <c r="I528" t="e">
        <f>SUMIF([1]Mapeamento!$J:$J,A528,[1]Mapeamento!$L:$L)</f>
        <v>#VALUE!</v>
      </c>
      <c r="J528" s="1" t="e">
        <f>SUMIF('[1]Map_Meso-Ox'!$C:$C,A528,'[1]Map_Meso-Ox'!$D:$D)</f>
        <v>#VALUE!</v>
      </c>
      <c r="K528" s="2" t="e">
        <f t="shared" si="16"/>
        <v>#VALUE!</v>
      </c>
      <c r="L528" s="1" t="e">
        <f>SUMIF('[1]Map_Meso-Ox'!$C:$C,A528,'[1]Map_Meso-Ox'!$E:$E)</f>
        <v>#VALUE!</v>
      </c>
      <c r="M528" s="2" t="e">
        <f t="shared" si="17"/>
        <v>#VALUE!</v>
      </c>
    </row>
    <row r="529" spans="1:13" x14ac:dyDescent="0.25">
      <c r="A529">
        <v>88</v>
      </c>
      <c r="B529">
        <v>1</v>
      </c>
      <c r="C529">
        <v>12.898</v>
      </c>
      <c r="D529">
        <v>0.26129999999999998</v>
      </c>
      <c r="E529" t="s">
        <v>9</v>
      </c>
      <c r="F529">
        <v>0</v>
      </c>
      <c r="G529">
        <f>COUNTIF(E:E,E529)</f>
        <v>110</v>
      </c>
      <c r="H529">
        <f>COUNTIFS(E:E,E529,A:A,A529,D:D,D529)</f>
        <v>1</v>
      </c>
      <c r="I529" t="e">
        <f>SUMIF([1]Mapeamento!$J:$J,A529,[1]Mapeamento!$L:$L)</f>
        <v>#VALUE!</v>
      </c>
      <c r="J529" s="1" t="e">
        <f>SUMIF('[1]Map_Meso-Ox'!$C:$C,A529,'[1]Map_Meso-Ox'!$D:$D)</f>
        <v>#VALUE!</v>
      </c>
      <c r="K529" s="2" t="e">
        <f t="shared" si="16"/>
        <v>#VALUE!</v>
      </c>
      <c r="L529" s="1" t="e">
        <f>SUMIF('[1]Map_Meso-Ox'!$C:$C,A529,'[1]Map_Meso-Ox'!$E:$E)</f>
        <v>#VALUE!</v>
      </c>
      <c r="M529" s="2" t="e">
        <f t="shared" si="17"/>
        <v>#VALUE!</v>
      </c>
    </row>
    <row r="530" spans="1:13" x14ac:dyDescent="0.25">
      <c r="A530">
        <v>89</v>
      </c>
      <c r="B530">
        <v>1</v>
      </c>
      <c r="C530">
        <v>23.46</v>
      </c>
      <c r="D530">
        <v>1.5100000000000001E-2</v>
      </c>
      <c r="E530" t="s">
        <v>9</v>
      </c>
      <c r="F530">
        <v>0</v>
      </c>
      <c r="G530">
        <f>COUNTIF(E:E,E530)</f>
        <v>110</v>
      </c>
      <c r="H530">
        <f>COUNTIFS(E:E,E530,A:A,A530,D:D,D530)</f>
        <v>1</v>
      </c>
      <c r="I530" t="e">
        <f>SUMIF([1]Mapeamento!$J:$J,A530,[1]Mapeamento!$L:$L)</f>
        <v>#VALUE!</v>
      </c>
      <c r="J530" s="1" t="e">
        <f>SUMIF('[1]Map_Meso-Ox'!$C:$C,A530,'[1]Map_Meso-Ox'!$D:$D)</f>
        <v>#VALUE!</v>
      </c>
      <c r="K530" s="2" t="e">
        <f t="shared" si="16"/>
        <v>#VALUE!</v>
      </c>
      <c r="L530" s="1" t="e">
        <f>SUMIF('[1]Map_Meso-Ox'!$C:$C,A530,'[1]Map_Meso-Ox'!$E:$E)</f>
        <v>#VALUE!</v>
      </c>
      <c r="M530" s="2" t="e">
        <f t="shared" si="17"/>
        <v>#VALUE!</v>
      </c>
    </row>
    <row r="531" spans="1:13" x14ac:dyDescent="0.25">
      <c r="A531">
        <v>90</v>
      </c>
      <c r="B531">
        <v>1</v>
      </c>
      <c r="C531">
        <v>41.073999999999998</v>
      </c>
      <c r="D531">
        <v>5.0000000000000001E-3</v>
      </c>
      <c r="E531" t="s">
        <v>9</v>
      </c>
      <c r="F531">
        <v>1</v>
      </c>
      <c r="G531">
        <f>COUNTIF(E:E,E531)</f>
        <v>110</v>
      </c>
      <c r="H531">
        <f>COUNTIFS(E:E,E531,A:A,A531,D:D,D531)</f>
        <v>1</v>
      </c>
      <c r="I531" t="e">
        <f>SUMIF([1]Mapeamento!$J:$J,A531,[1]Mapeamento!$L:$L)</f>
        <v>#VALUE!</v>
      </c>
      <c r="J531" s="1" t="e">
        <f>SUMIF('[1]Map_Meso-Ox'!$C:$C,A531,'[1]Map_Meso-Ox'!$D:$D)</f>
        <v>#VALUE!</v>
      </c>
      <c r="K531" s="2" t="e">
        <f t="shared" si="16"/>
        <v>#VALUE!</v>
      </c>
      <c r="L531" s="1" t="e">
        <f>SUMIF('[1]Map_Meso-Ox'!$C:$C,A531,'[1]Map_Meso-Ox'!$E:$E)</f>
        <v>#VALUE!</v>
      </c>
      <c r="M531" s="2" t="e">
        <f t="shared" si="17"/>
        <v>#VALUE!</v>
      </c>
    </row>
    <row r="532" spans="1:13" x14ac:dyDescent="0.25">
      <c r="A532">
        <v>91</v>
      </c>
      <c r="B532">
        <v>1</v>
      </c>
      <c r="C532">
        <v>13.882999999999999</v>
      </c>
      <c r="D532">
        <v>0.14069999999999999</v>
      </c>
      <c r="E532" t="s">
        <v>9</v>
      </c>
      <c r="F532">
        <v>2</v>
      </c>
      <c r="G532">
        <f>COUNTIF(E:E,E532)</f>
        <v>110</v>
      </c>
      <c r="H532">
        <f>COUNTIFS(E:E,E532,A:A,A532,D:D,D532)</f>
        <v>1</v>
      </c>
      <c r="I532" t="e">
        <f>SUMIF([1]Mapeamento!$J:$J,A532,[1]Mapeamento!$L:$L)</f>
        <v>#VALUE!</v>
      </c>
      <c r="J532" s="1" t="e">
        <f>SUMIF('[1]Map_Meso-Ox'!$C:$C,A532,'[1]Map_Meso-Ox'!$D:$D)</f>
        <v>#VALUE!</v>
      </c>
      <c r="K532" s="2" t="e">
        <f t="shared" si="16"/>
        <v>#VALUE!</v>
      </c>
      <c r="L532" s="1" t="e">
        <f>SUMIF('[1]Map_Meso-Ox'!$C:$C,A532,'[1]Map_Meso-Ox'!$E:$E)</f>
        <v>#VALUE!</v>
      </c>
      <c r="M532" s="2" t="e">
        <f t="shared" si="17"/>
        <v>#VALUE!</v>
      </c>
    </row>
    <row r="533" spans="1:13" x14ac:dyDescent="0.25">
      <c r="A533">
        <v>92</v>
      </c>
      <c r="B533">
        <v>1</v>
      </c>
      <c r="C533">
        <v>18.71</v>
      </c>
      <c r="D533">
        <v>0.12559999999999999</v>
      </c>
      <c r="E533" t="s">
        <v>9</v>
      </c>
      <c r="F533">
        <v>0</v>
      </c>
      <c r="G533">
        <f>COUNTIF(E:E,E533)</f>
        <v>110</v>
      </c>
      <c r="H533">
        <f>COUNTIFS(E:E,E533,A:A,A533,D:D,D533)</f>
        <v>1</v>
      </c>
      <c r="I533" t="e">
        <f>SUMIF([1]Mapeamento!$J:$J,A533,[1]Mapeamento!$L:$L)</f>
        <v>#VALUE!</v>
      </c>
      <c r="J533" s="1" t="e">
        <f>SUMIF('[1]Map_Meso-Ox'!$C:$C,A533,'[1]Map_Meso-Ox'!$D:$D)</f>
        <v>#VALUE!</v>
      </c>
      <c r="K533" s="2" t="e">
        <f t="shared" si="16"/>
        <v>#VALUE!</v>
      </c>
      <c r="L533" s="1" t="e">
        <f>SUMIF('[1]Map_Meso-Ox'!$C:$C,A533,'[1]Map_Meso-Ox'!$E:$E)</f>
        <v>#VALUE!</v>
      </c>
      <c r="M533" s="2" t="e">
        <f t="shared" si="17"/>
        <v>#VALUE!</v>
      </c>
    </row>
    <row r="534" spans="1:13" x14ac:dyDescent="0.25">
      <c r="A534">
        <v>93</v>
      </c>
      <c r="B534">
        <v>1</v>
      </c>
      <c r="C534">
        <v>23.962</v>
      </c>
      <c r="D534">
        <v>0.1457</v>
      </c>
      <c r="E534" t="s">
        <v>9</v>
      </c>
      <c r="F534">
        <v>0</v>
      </c>
      <c r="G534">
        <f>COUNTIF(E:E,E534)</f>
        <v>110</v>
      </c>
      <c r="H534">
        <f>COUNTIFS(E:E,E534,A:A,A534,D:D,D534)</f>
        <v>1</v>
      </c>
      <c r="I534" t="e">
        <f>SUMIF([1]Mapeamento!$J:$J,A534,[1]Mapeamento!$L:$L)</f>
        <v>#VALUE!</v>
      </c>
      <c r="J534" s="1" t="e">
        <f>SUMIF('[1]Map_Meso-Ox'!$C:$C,A534,'[1]Map_Meso-Ox'!$D:$D)</f>
        <v>#VALUE!</v>
      </c>
      <c r="K534" s="2" t="e">
        <f t="shared" si="16"/>
        <v>#VALUE!</v>
      </c>
      <c r="L534" s="1" t="e">
        <f>SUMIF('[1]Map_Meso-Ox'!$C:$C,A534,'[1]Map_Meso-Ox'!$E:$E)</f>
        <v>#VALUE!</v>
      </c>
      <c r="M534" s="2" t="e">
        <f t="shared" si="17"/>
        <v>#VALUE!</v>
      </c>
    </row>
    <row r="535" spans="1:13" x14ac:dyDescent="0.25">
      <c r="A535">
        <v>94</v>
      </c>
      <c r="B535">
        <v>1</v>
      </c>
      <c r="C535">
        <v>17.372</v>
      </c>
      <c r="D535">
        <v>5.5300000000000002E-2</v>
      </c>
      <c r="E535" t="s">
        <v>9</v>
      </c>
      <c r="F535">
        <v>2</v>
      </c>
      <c r="G535">
        <f>COUNTIF(E:E,E535)</f>
        <v>110</v>
      </c>
      <c r="H535">
        <f>COUNTIFS(E:E,E535,A:A,A535,D:D,D535)</f>
        <v>1</v>
      </c>
      <c r="I535" t="e">
        <f>SUMIF([1]Mapeamento!$J:$J,A535,[1]Mapeamento!$L:$L)</f>
        <v>#VALUE!</v>
      </c>
      <c r="J535" s="1" t="e">
        <f>SUMIF('[1]Map_Meso-Ox'!$C:$C,A535,'[1]Map_Meso-Ox'!$D:$D)</f>
        <v>#VALUE!</v>
      </c>
      <c r="K535" s="2" t="e">
        <f t="shared" si="16"/>
        <v>#VALUE!</v>
      </c>
      <c r="L535" s="1" t="e">
        <f>SUMIF('[1]Map_Meso-Ox'!$C:$C,A535,'[1]Map_Meso-Ox'!$E:$E)</f>
        <v>#VALUE!</v>
      </c>
      <c r="M535" s="2" t="e">
        <f t="shared" si="17"/>
        <v>#VALUE!</v>
      </c>
    </row>
    <row r="536" spans="1:13" x14ac:dyDescent="0.25">
      <c r="A536">
        <v>95</v>
      </c>
      <c r="B536">
        <v>1</v>
      </c>
      <c r="C536">
        <v>17.376000000000001</v>
      </c>
      <c r="D536">
        <v>0.1457</v>
      </c>
      <c r="E536" t="s">
        <v>9</v>
      </c>
      <c r="F536">
        <v>0</v>
      </c>
      <c r="G536">
        <f>COUNTIF(E:E,E536)</f>
        <v>110</v>
      </c>
      <c r="H536">
        <f>COUNTIFS(E:E,E536,A:A,A536,D:D,D536)</f>
        <v>1</v>
      </c>
      <c r="I536" t="e">
        <f>SUMIF([1]Mapeamento!$J:$J,A536,[1]Mapeamento!$L:$L)</f>
        <v>#VALUE!</v>
      </c>
      <c r="J536" s="1" t="e">
        <f>SUMIF('[1]Map_Meso-Ox'!$C:$C,A536,'[1]Map_Meso-Ox'!$D:$D)</f>
        <v>#VALUE!</v>
      </c>
      <c r="K536" s="2" t="e">
        <f t="shared" si="16"/>
        <v>#VALUE!</v>
      </c>
      <c r="L536" s="1" t="e">
        <f>SUMIF('[1]Map_Meso-Ox'!$C:$C,A536,'[1]Map_Meso-Ox'!$E:$E)</f>
        <v>#VALUE!</v>
      </c>
      <c r="M536" s="2" t="e">
        <f t="shared" si="17"/>
        <v>#VALUE!</v>
      </c>
    </row>
    <row r="537" spans="1:13" x14ac:dyDescent="0.25">
      <c r="A537">
        <v>96</v>
      </c>
      <c r="B537">
        <v>1</v>
      </c>
      <c r="C537">
        <v>19.891999999999999</v>
      </c>
      <c r="D537">
        <v>0.1206</v>
      </c>
      <c r="E537" t="s">
        <v>9</v>
      </c>
      <c r="F537">
        <v>0</v>
      </c>
      <c r="G537">
        <f>COUNTIF(E:E,E537)</f>
        <v>110</v>
      </c>
      <c r="H537">
        <f>COUNTIFS(E:E,E537,A:A,A537,D:D,D537)</f>
        <v>1</v>
      </c>
      <c r="I537" t="e">
        <f>SUMIF([1]Mapeamento!$J:$J,A537,[1]Mapeamento!$L:$L)</f>
        <v>#VALUE!</v>
      </c>
      <c r="J537" s="1" t="e">
        <f>SUMIF('[1]Map_Meso-Ox'!$C:$C,A537,'[1]Map_Meso-Ox'!$D:$D)</f>
        <v>#VALUE!</v>
      </c>
      <c r="K537" s="2" t="e">
        <f t="shared" si="16"/>
        <v>#VALUE!</v>
      </c>
      <c r="L537" s="1" t="e">
        <f>SUMIF('[1]Map_Meso-Ox'!$C:$C,A537,'[1]Map_Meso-Ox'!$E:$E)</f>
        <v>#VALUE!</v>
      </c>
      <c r="M537" s="2" t="e">
        <f t="shared" si="17"/>
        <v>#VALUE!</v>
      </c>
    </row>
    <row r="538" spans="1:13" x14ac:dyDescent="0.25">
      <c r="A538">
        <v>97</v>
      </c>
      <c r="B538">
        <v>1</v>
      </c>
      <c r="C538">
        <v>17.22</v>
      </c>
      <c r="D538">
        <v>0.15079999999999999</v>
      </c>
      <c r="E538" t="s">
        <v>9</v>
      </c>
      <c r="F538">
        <v>1</v>
      </c>
      <c r="G538">
        <f>COUNTIF(E:E,E538)</f>
        <v>110</v>
      </c>
      <c r="H538">
        <f>COUNTIFS(E:E,E538,A:A,A538,D:D,D538)</f>
        <v>1</v>
      </c>
      <c r="I538" t="e">
        <f>SUMIF([1]Mapeamento!$J:$J,A538,[1]Mapeamento!$L:$L)</f>
        <v>#VALUE!</v>
      </c>
      <c r="J538" s="1" t="e">
        <f>SUMIF('[1]Map_Meso-Ox'!$C:$C,A538,'[1]Map_Meso-Ox'!$D:$D)</f>
        <v>#VALUE!</v>
      </c>
      <c r="K538" s="2" t="e">
        <f t="shared" si="16"/>
        <v>#VALUE!</v>
      </c>
      <c r="L538" s="1" t="e">
        <f>SUMIF('[1]Map_Meso-Ox'!$C:$C,A538,'[1]Map_Meso-Ox'!$E:$E)</f>
        <v>#VALUE!</v>
      </c>
      <c r="M538" s="2" t="e">
        <f t="shared" si="17"/>
        <v>#VALUE!</v>
      </c>
    </row>
    <row r="539" spans="1:13" x14ac:dyDescent="0.25">
      <c r="A539">
        <v>98</v>
      </c>
      <c r="B539">
        <v>1</v>
      </c>
      <c r="C539">
        <v>17.556999999999999</v>
      </c>
      <c r="D539">
        <v>0.2462</v>
      </c>
      <c r="E539" t="s">
        <v>9</v>
      </c>
      <c r="F539">
        <v>0</v>
      </c>
      <c r="G539">
        <f>COUNTIF(E:E,E539)</f>
        <v>110</v>
      </c>
      <c r="H539">
        <f>COUNTIFS(E:E,E539,A:A,A539,D:D,D539)</f>
        <v>1</v>
      </c>
      <c r="I539" t="e">
        <f>SUMIF([1]Mapeamento!$J:$J,A539,[1]Mapeamento!$L:$L)</f>
        <v>#VALUE!</v>
      </c>
      <c r="J539" s="1" t="e">
        <f>SUMIF('[1]Map_Meso-Ox'!$C:$C,A539,'[1]Map_Meso-Ox'!$D:$D)</f>
        <v>#VALUE!</v>
      </c>
      <c r="K539" s="2" t="e">
        <f t="shared" si="16"/>
        <v>#VALUE!</v>
      </c>
      <c r="L539" s="1" t="e">
        <f>SUMIF('[1]Map_Meso-Ox'!$C:$C,A539,'[1]Map_Meso-Ox'!$E:$E)</f>
        <v>#VALUE!</v>
      </c>
      <c r="M539" s="2" t="e">
        <f t="shared" si="17"/>
        <v>#VALUE!</v>
      </c>
    </row>
    <row r="540" spans="1:13" x14ac:dyDescent="0.25">
      <c r="A540">
        <v>99</v>
      </c>
      <c r="B540">
        <v>1</v>
      </c>
      <c r="C540">
        <v>31.443000000000001</v>
      </c>
      <c r="D540">
        <v>5.0000000000000001E-3</v>
      </c>
      <c r="E540" t="s">
        <v>9</v>
      </c>
      <c r="F540">
        <v>1</v>
      </c>
      <c r="G540">
        <f>COUNTIF(E:E,E540)</f>
        <v>110</v>
      </c>
      <c r="H540">
        <f>COUNTIFS(E:E,E540,A:A,A540,D:D,D540)</f>
        <v>1</v>
      </c>
      <c r="I540" t="e">
        <f>SUMIF([1]Mapeamento!$J:$J,A540,[1]Mapeamento!$L:$L)</f>
        <v>#VALUE!</v>
      </c>
      <c r="J540" s="1" t="e">
        <f>SUMIF('[1]Map_Meso-Ox'!$C:$C,A540,'[1]Map_Meso-Ox'!$D:$D)</f>
        <v>#VALUE!</v>
      </c>
      <c r="K540" s="2" t="e">
        <f t="shared" si="16"/>
        <v>#VALUE!</v>
      </c>
      <c r="L540" s="1" t="e">
        <f>SUMIF('[1]Map_Meso-Ox'!$C:$C,A540,'[1]Map_Meso-Ox'!$E:$E)</f>
        <v>#VALUE!</v>
      </c>
      <c r="M540" s="2" t="e">
        <f t="shared" si="17"/>
        <v>#VALUE!</v>
      </c>
    </row>
    <row r="541" spans="1:13" x14ac:dyDescent="0.25">
      <c r="A541">
        <v>100</v>
      </c>
      <c r="B541">
        <v>1</v>
      </c>
      <c r="C541">
        <v>19.427</v>
      </c>
      <c r="D541">
        <v>0.1055</v>
      </c>
      <c r="E541" t="s">
        <v>9</v>
      </c>
      <c r="F541">
        <v>2</v>
      </c>
      <c r="G541">
        <f>COUNTIF(E:E,E541)</f>
        <v>110</v>
      </c>
      <c r="H541">
        <f>COUNTIFS(E:E,E541,A:A,A541,D:D,D541)</f>
        <v>1</v>
      </c>
      <c r="I541" t="e">
        <f>SUMIF([1]Mapeamento!$J:$J,A541,[1]Mapeamento!$L:$L)</f>
        <v>#VALUE!</v>
      </c>
      <c r="J541" s="1" t="e">
        <f>SUMIF('[1]Map_Meso-Ox'!$C:$C,A541,'[1]Map_Meso-Ox'!$D:$D)</f>
        <v>#VALUE!</v>
      </c>
      <c r="K541" s="2" t="e">
        <f t="shared" si="16"/>
        <v>#VALUE!</v>
      </c>
      <c r="L541" s="1" t="e">
        <f>SUMIF('[1]Map_Meso-Ox'!$C:$C,A541,'[1]Map_Meso-Ox'!$E:$E)</f>
        <v>#VALUE!</v>
      </c>
      <c r="M541" s="2" t="e">
        <f t="shared" si="17"/>
        <v>#VALUE!</v>
      </c>
    </row>
    <row r="542" spans="1:13" x14ac:dyDescent="0.25">
      <c r="A542">
        <v>101</v>
      </c>
      <c r="B542">
        <v>1</v>
      </c>
      <c r="C542">
        <v>26.597000000000001</v>
      </c>
      <c r="D542">
        <v>0</v>
      </c>
      <c r="E542" t="s">
        <v>9</v>
      </c>
      <c r="F542">
        <v>2</v>
      </c>
      <c r="G542">
        <f>COUNTIF(E:E,E542)</f>
        <v>110</v>
      </c>
      <c r="H542">
        <f>COUNTIFS(E:E,E542,A:A,A542,D:D,D542)</f>
        <v>1</v>
      </c>
      <c r="I542" t="e">
        <f>SUMIF([1]Mapeamento!$J:$J,A542,[1]Mapeamento!$L:$L)</f>
        <v>#VALUE!</v>
      </c>
      <c r="J542" s="1" t="e">
        <f>SUMIF('[1]Map_Meso-Ox'!$C:$C,A542,'[1]Map_Meso-Ox'!$D:$D)</f>
        <v>#VALUE!</v>
      </c>
      <c r="K542" s="2" t="e">
        <f t="shared" si="16"/>
        <v>#VALUE!</v>
      </c>
      <c r="L542" s="1" t="e">
        <f>SUMIF('[1]Map_Meso-Ox'!$C:$C,A542,'[1]Map_Meso-Ox'!$E:$E)</f>
        <v>#VALUE!</v>
      </c>
      <c r="M542" s="2" t="e">
        <f t="shared" si="17"/>
        <v>#VALUE!</v>
      </c>
    </row>
    <row r="543" spans="1:13" x14ac:dyDescent="0.25">
      <c r="A543">
        <v>102</v>
      </c>
      <c r="B543">
        <v>1</v>
      </c>
      <c r="C543">
        <v>27.881</v>
      </c>
      <c r="D543">
        <v>1.01E-2</v>
      </c>
      <c r="E543" t="s">
        <v>9</v>
      </c>
      <c r="F543">
        <v>0</v>
      </c>
      <c r="G543">
        <f>COUNTIF(E:E,E543)</f>
        <v>110</v>
      </c>
      <c r="H543">
        <f>COUNTIFS(E:E,E543,A:A,A543,D:D,D543)</f>
        <v>1</v>
      </c>
      <c r="I543" t="e">
        <f>SUMIF([1]Mapeamento!$J:$J,A543,[1]Mapeamento!$L:$L)</f>
        <v>#VALUE!</v>
      </c>
      <c r="J543" s="1" t="e">
        <f>SUMIF('[1]Map_Meso-Ox'!$C:$C,A543,'[1]Map_Meso-Ox'!$D:$D)</f>
        <v>#VALUE!</v>
      </c>
      <c r="K543" s="2" t="e">
        <f t="shared" si="16"/>
        <v>#VALUE!</v>
      </c>
      <c r="L543" s="1" t="e">
        <f>SUMIF('[1]Map_Meso-Ox'!$C:$C,A543,'[1]Map_Meso-Ox'!$E:$E)</f>
        <v>#VALUE!</v>
      </c>
      <c r="M543" s="2" t="e">
        <f t="shared" si="17"/>
        <v>#VALUE!</v>
      </c>
    </row>
    <row r="544" spans="1:13" x14ac:dyDescent="0.25">
      <c r="A544">
        <v>103</v>
      </c>
      <c r="B544">
        <v>1</v>
      </c>
      <c r="C544">
        <v>29.956</v>
      </c>
      <c r="D544">
        <v>3.5200000000000002E-2</v>
      </c>
      <c r="E544" t="s">
        <v>9</v>
      </c>
      <c r="F544">
        <v>1</v>
      </c>
      <c r="G544">
        <f>COUNTIF(E:E,E544)</f>
        <v>110</v>
      </c>
      <c r="H544">
        <f>COUNTIFS(E:E,E544,A:A,A544,D:D,D544)</f>
        <v>1</v>
      </c>
      <c r="I544" t="e">
        <f>SUMIF([1]Mapeamento!$J:$J,A544,[1]Mapeamento!$L:$L)</f>
        <v>#VALUE!</v>
      </c>
      <c r="J544" s="1" t="e">
        <f>SUMIF('[1]Map_Meso-Ox'!$C:$C,A544,'[1]Map_Meso-Ox'!$D:$D)</f>
        <v>#VALUE!</v>
      </c>
      <c r="K544" s="2" t="e">
        <f t="shared" si="16"/>
        <v>#VALUE!</v>
      </c>
      <c r="L544" s="1" t="e">
        <f>SUMIF('[1]Map_Meso-Ox'!$C:$C,A544,'[1]Map_Meso-Ox'!$E:$E)</f>
        <v>#VALUE!</v>
      </c>
      <c r="M544" s="2" t="e">
        <f t="shared" si="17"/>
        <v>#VALUE!</v>
      </c>
    </row>
    <row r="545" spans="1:13" x14ac:dyDescent="0.25">
      <c r="A545">
        <v>104</v>
      </c>
      <c r="B545">
        <v>1</v>
      </c>
      <c r="C545">
        <v>23.576000000000001</v>
      </c>
      <c r="D545">
        <v>2.5100000000000001E-2</v>
      </c>
      <c r="E545" t="s">
        <v>9</v>
      </c>
      <c r="F545">
        <v>1</v>
      </c>
      <c r="G545">
        <f>COUNTIF(E:E,E545)</f>
        <v>110</v>
      </c>
      <c r="H545">
        <f>COUNTIFS(E:E,E545,A:A,A545,D:D,D545)</f>
        <v>1</v>
      </c>
      <c r="I545" t="e">
        <f>SUMIF([1]Mapeamento!$J:$J,A545,[1]Mapeamento!$L:$L)</f>
        <v>#VALUE!</v>
      </c>
      <c r="J545" s="1" t="e">
        <f>SUMIF('[1]Map_Meso-Ox'!$C:$C,A545,'[1]Map_Meso-Ox'!$D:$D)</f>
        <v>#VALUE!</v>
      </c>
      <c r="K545" s="2" t="e">
        <f t="shared" si="16"/>
        <v>#VALUE!</v>
      </c>
      <c r="L545" s="1" t="e">
        <f>SUMIF('[1]Map_Meso-Ox'!$C:$C,A545,'[1]Map_Meso-Ox'!$E:$E)</f>
        <v>#VALUE!</v>
      </c>
      <c r="M545" s="2" t="e">
        <f t="shared" si="17"/>
        <v>#VALUE!</v>
      </c>
    </row>
    <row r="546" spans="1:13" x14ac:dyDescent="0.25">
      <c r="A546">
        <v>105</v>
      </c>
      <c r="B546">
        <v>1</v>
      </c>
      <c r="C546">
        <v>5.5601000000000003</v>
      </c>
      <c r="D546">
        <v>0.57789999999999997</v>
      </c>
      <c r="E546" t="s">
        <v>9</v>
      </c>
      <c r="F546">
        <v>2</v>
      </c>
      <c r="G546">
        <f>COUNTIF(E:E,E546)</f>
        <v>110</v>
      </c>
      <c r="H546">
        <f>COUNTIFS(E:E,E546,A:A,A546,D:D,D546)</f>
        <v>1</v>
      </c>
      <c r="I546" t="e">
        <f>SUMIF([1]Mapeamento!$J:$J,A546,[1]Mapeamento!$L:$L)</f>
        <v>#VALUE!</v>
      </c>
      <c r="J546" s="1" t="e">
        <f>SUMIF('[1]Map_Meso-Ox'!$C:$C,A546,'[1]Map_Meso-Ox'!$D:$D)</f>
        <v>#VALUE!</v>
      </c>
      <c r="K546" s="2" t="e">
        <f t="shared" si="16"/>
        <v>#VALUE!</v>
      </c>
      <c r="L546" s="1" t="e">
        <f>SUMIF('[1]Map_Meso-Ox'!$C:$C,A546,'[1]Map_Meso-Ox'!$E:$E)</f>
        <v>#VALUE!</v>
      </c>
      <c r="M546" s="2" t="e">
        <f t="shared" si="17"/>
        <v>#VALUE!</v>
      </c>
    </row>
    <row r="547" spans="1:13" x14ac:dyDescent="0.25">
      <c r="A547">
        <v>106</v>
      </c>
      <c r="B547">
        <v>1</v>
      </c>
      <c r="C547">
        <v>13.321</v>
      </c>
      <c r="D547">
        <v>0.13569999999999999</v>
      </c>
      <c r="E547" t="s">
        <v>9</v>
      </c>
      <c r="F547">
        <v>2</v>
      </c>
      <c r="G547">
        <f>COUNTIF(E:E,E547)</f>
        <v>110</v>
      </c>
      <c r="H547">
        <f>COUNTIFS(E:E,E547,A:A,A547,D:D,D547)</f>
        <v>1</v>
      </c>
      <c r="I547" t="e">
        <f>SUMIF([1]Mapeamento!$J:$J,A547,[1]Mapeamento!$L:$L)</f>
        <v>#VALUE!</v>
      </c>
      <c r="J547" s="1" t="e">
        <f>SUMIF('[1]Map_Meso-Ox'!$C:$C,A547,'[1]Map_Meso-Ox'!$D:$D)</f>
        <v>#VALUE!</v>
      </c>
      <c r="K547" s="2" t="e">
        <f t="shared" si="16"/>
        <v>#VALUE!</v>
      </c>
      <c r="L547" s="1" t="e">
        <f>SUMIF('[1]Map_Meso-Ox'!$C:$C,A547,'[1]Map_Meso-Ox'!$E:$E)</f>
        <v>#VALUE!</v>
      </c>
      <c r="M547" s="2" t="e">
        <f t="shared" si="17"/>
        <v>#VALUE!</v>
      </c>
    </row>
    <row r="548" spans="1:13" x14ac:dyDescent="0.25">
      <c r="A548">
        <v>107</v>
      </c>
      <c r="B548">
        <v>1</v>
      </c>
      <c r="C548">
        <v>23.965</v>
      </c>
      <c r="D548">
        <v>2.01E-2</v>
      </c>
      <c r="E548" t="s">
        <v>9</v>
      </c>
      <c r="F548">
        <v>1</v>
      </c>
      <c r="G548">
        <f>COUNTIF(E:E,E548)</f>
        <v>110</v>
      </c>
      <c r="H548">
        <f>COUNTIFS(E:E,E548,A:A,A548,D:D,D548)</f>
        <v>1</v>
      </c>
      <c r="I548" t="e">
        <f>SUMIF([1]Mapeamento!$J:$J,A548,[1]Mapeamento!$L:$L)</f>
        <v>#VALUE!</v>
      </c>
      <c r="J548" s="1" t="e">
        <f>SUMIF('[1]Map_Meso-Ox'!$C:$C,A548,'[1]Map_Meso-Ox'!$D:$D)</f>
        <v>#VALUE!</v>
      </c>
      <c r="K548" s="2" t="e">
        <f t="shared" si="16"/>
        <v>#VALUE!</v>
      </c>
      <c r="L548" s="1" t="e">
        <f>SUMIF('[1]Map_Meso-Ox'!$C:$C,A548,'[1]Map_Meso-Ox'!$E:$E)</f>
        <v>#VALUE!</v>
      </c>
      <c r="M548" s="2" t="e">
        <f t="shared" si="17"/>
        <v>#VALUE!</v>
      </c>
    </row>
    <row r="549" spans="1:13" x14ac:dyDescent="0.25">
      <c r="A549">
        <v>108</v>
      </c>
      <c r="B549">
        <v>1</v>
      </c>
      <c r="C549">
        <v>13.278</v>
      </c>
      <c r="D549">
        <v>0.1457</v>
      </c>
      <c r="E549" t="s">
        <v>9</v>
      </c>
      <c r="F549">
        <v>1</v>
      </c>
      <c r="G549">
        <f>COUNTIF(E:E,E549)</f>
        <v>110</v>
      </c>
      <c r="H549">
        <f>COUNTIFS(E:E,E549,A:A,A549,D:D,D549)</f>
        <v>1</v>
      </c>
      <c r="I549" t="e">
        <f>SUMIF([1]Mapeamento!$J:$J,A549,[1]Mapeamento!$L:$L)</f>
        <v>#VALUE!</v>
      </c>
      <c r="J549" s="1" t="e">
        <f>SUMIF('[1]Map_Meso-Ox'!$C:$C,A549,'[1]Map_Meso-Ox'!$D:$D)</f>
        <v>#VALUE!</v>
      </c>
      <c r="K549" s="2" t="e">
        <f t="shared" si="16"/>
        <v>#VALUE!</v>
      </c>
      <c r="L549" s="1" t="e">
        <f>SUMIF('[1]Map_Meso-Ox'!$C:$C,A549,'[1]Map_Meso-Ox'!$E:$E)</f>
        <v>#VALUE!</v>
      </c>
      <c r="M549" s="2" t="e">
        <f t="shared" si="17"/>
        <v>#VALUE!</v>
      </c>
    </row>
    <row r="550" spans="1:13" x14ac:dyDescent="0.25">
      <c r="A550">
        <v>109</v>
      </c>
      <c r="B550">
        <v>1</v>
      </c>
      <c r="C550">
        <v>25.202999999999999</v>
      </c>
      <c r="D550">
        <v>1.01E-2</v>
      </c>
      <c r="E550" t="s">
        <v>9</v>
      </c>
      <c r="F550">
        <v>1</v>
      </c>
      <c r="G550">
        <f>COUNTIF(E:E,E550)</f>
        <v>110</v>
      </c>
      <c r="H550">
        <f>COUNTIFS(E:E,E550,A:A,A550,D:D,D550)</f>
        <v>1</v>
      </c>
      <c r="I550" t="e">
        <f>SUMIF([1]Mapeamento!$J:$J,A550,[1]Mapeamento!$L:$L)</f>
        <v>#VALUE!</v>
      </c>
      <c r="J550" s="1" t="e">
        <f>SUMIF('[1]Map_Meso-Ox'!$C:$C,A550,'[1]Map_Meso-Ox'!$D:$D)</f>
        <v>#VALUE!</v>
      </c>
      <c r="K550" s="2" t="e">
        <f t="shared" si="16"/>
        <v>#VALUE!</v>
      </c>
      <c r="L550" s="1" t="e">
        <f>SUMIF('[1]Map_Meso-Ox'!$C:$C,A550,'[1]Map_Meso-Ox'!$E:$E)</f>
        <v>#VALUE!</v>
      </c>
      <c r="M550" s="2" t="e">
        <f t="shared" si="17"/>
        <v>#VALUE!</v>
      </c>
    </row>
    <row r="551" spans="1:13" x14ac:dyDescent="0.25">
      <c r="A551">
        <v>110</v>
      </c>
      <c r="B551">
        <v>1</v>
      </c>
      <c r="C551">
        <v>24.347000000000001</v>
      </c>
      <c r="D551">
        <v>2.5100000000000001E-2</v>
      </c>
      <c r="E551" t="s">
        <v>9</v>
      </c>
      <c r="F551">
        <v>2</v>
      </c>
      <c r="G551">
        <f>COUNTIF(E:E,E551)</f>
        <v>110</v>
      </c>
      <c r="H551">
        <f>COUNTIFS(E:E,E551,A:A,A551,D:D,D551)</f>
        <v>1</v>
      </c>
      <c r="I551" t="e">
        <f>SUMIF([1]Mapeamento!$J:$J,A551,[1]Mapeamento!$L:$L)</f>
        <v>#VALUE!</v>
      </c>
      <c r="J551" s="1" t="e">
        <f>SUMIF('[1]Map_Meso-Ox'!$C:$C,A551,'[1]Map_Meso-Ox'!$D:$D)</f>
        <v>#VALUE!</v>
      </c>
      <c r="K551" s="2" t="e">
        <f t="shared" si="16"/>
        <v>#VALUE!</v>
      </c>
      <c r="L551" s="1" t="e">
        <f>SUMIF('[1]Map_Meso-Ox'!$C:$C,A551,'[1]Map_Meso-Ox'!$E:$E)</f>
        <v>#VALUE!</v>
      </c>
      <c r="M551" s="2" t="e">
        <f t="shared" si="17"/>
        <v>#VALUE!</v>
      </c>
    </row>
    <row r="552" spans="1:13" x14ac:dyDescent="0.25">
      <c r="A552">
        <v>1</v>
      </c>
      <c r="B552">
        <v>3</v>
      </c>
      <c r="C552">
        <v>37.045000000000002</v>
      </c>
      <c r="D552">
        <v>2.0000000000000001E-4</v>
      </c>
      <c r="E552" t="s">
        <v>18</v>
      </c>
      <c r="F552">
        <v>2</v>
      </c>
      <c r="G552">
        <f>COUNTIF(E:E,E552)</f>
        <v>110</v>
      </c>
      <c r="H552">
        <f>COUNTIFS(E:E,E552,A:A,A552,D:D,D552)</f>
        <v>1</v>
      </c>
      <c r="I552" t="e">
        <f>SUMIF([1]Mapeamento!$J:$J,A552,[1]Mapeamento!$L:$L)</f>
        <v>#VALUE!</v>
      </c>
      <c r="J552" s="1" t="e">
        <f>SUMIF('[1]Map_Meso-Ox'!$C:$C,A552,'[1]Map_Meso-Ox'!$D:$D)</f>
        <v>#VALUE!</v>
      </c>
      <c r="K552" s="2" t="e">
        <f t="shared" ref="K552:K615" si="18">J552/203401269</f>
        <v>#VALUE!</v>
      </c>
      <c r="L552" s="1" t="e">
        <f>SUMIF('[1]Map_Meso-Ox'!$C:$C,A552,'[1]Map_Meso-Ox'!$E:$E)</f>
        <v>#VALUE!</v>
      </c>
      <c r="M552" s="2" t="e">
        <f t="shared" ref="M552:M615" si="19">L552/3868725997.715</f>
        <v>#VALUE!</v>
      </c>
    </row>
    <row r="553" spans="1:13" x14ac:dyDescent="0.25">
      <c r="A553">
        <v>2</v>
      </c>
      <c r="B553">
        <v>3</v>
      </c>
      <c r="C553">
        <v>63.697000000000003</v>
      </c>
      <c r="D553">
        <v>0</v>
      </c>
      <c r="E553" t="s">
        <v>18</v>
      </c>
      <c r="F553">
        <v>2</v>
      </c>
      <c r="G553">
        <f>COUNTIF(E:E,E553)</f>
        <v>110</v>
      </c>
      <c r="H553">
        <f>COUNTIFS(E:E,E553,A:A,A553,D:D,D553)</f>
        <v>1</v>
      </c>
      <c r="I553" t="e">
        <f>SUMIF([1]Mapeamento!$J:$J,A553,[1]Mapeamento!$L:$L)</f>
        <v>#VALUE!</v>
      </c>
      <c r="J553" s="1" t="e">
        <f>SUMIF('[1]Map_Meso-Ox'!$C:$C,A553,'[1]Map_Meso-Ox'!$D:$D)</f>
        <v>#VALUE!</v>
      </c>
      <c r="K553" s="2" t="e">
        <f t="shared" si="18"/>
        <v>#VALUE!</v>
      </c>
      <c r="L553" s="1" t="e">
        <f>SUMIF('[1]Map_Meso-Ox'!$C:$C,A553,'[1]Map_Meso-Ox'!$E:$E)</f>
        <v>#VALUE!</v>
      </c>
      <c r="M553" s="2" t="e">
        <f t="shared" si="19"/>
        <v>#VALUE!</v>
      </c>
    </row>
    <row r="554" spans="1:13" x14ac:dyDescent="0.25">
      <c r="A554">
        <v>3</v>
      </c>
      <c r="B554">
        <v>3</v>
      </c>
      <c r="C554">
        <v>39.947000000000003</v>
      </c>
      <c r="D554">
        <v>1E-4</v>
      </c>
      <c r="E554" t="s">
        <v>18</v>
      </c>
      <c r="F554">
        <v>1</v>
      </c>
      <c r="G554">
        <f>COUNTIF(E:E,E554)</f>
        <v>110</v>
      </c>
      <c r="H554">
        <f>COUNTIFS(E:E,E554,A:A,A554,D:D,D554)</f>
        <v>1</v>
      </c>
      <c r="I554" t="e">
        <f>SUMIF([1]Mapeamento!$J:$J,A554,[1]Mapeamento!$L:$L)</f>
        <v>#VALUE!</v>
      </c>
      <c r="J554" s="1" t="e">
        <f>SUMIF('[1]Map_Meso-Ox'!$C:$C,A554,'[1]Map_Meso-Ox'!$D:$D)</f>
        <v>#VALUE!</v>
      </c>
      <c r="K554" s="2" t="e">
        <f t="shared" si="18"/>
        <v>#VALUE!</v>
      </c>
      <c r="L554" s="1" t="e">
        <f>SUMIF('[1]Map_Meso-Ox'!$C:$C,A554,'[1]Map_Meso-Ox'!$E:$E)</f>
        <v>#VALUE!</v>
      </c>
      <c r="M554" s="2" t="e">
        <f t="shared" si="19"/>
        <v>#VALUE!</v>
      </c>
    </row>
    <row r="555" spans="1:13" x14ac:dyDescent="0.25">
      <c r="A555">
        <v>4</v>
      </c>
      <c r="B555">
        <v>3</v>
      </c>
      <c r="C555">
        <v>43.884</v>
      </c>
      <c r="D555">
        <v>0</v>
      </c>
      <c r="E555" t="s">
        <v>18</v>
      </c>
      <c r="F555">
        <v>1</v>
      </c>
      <c r="G555">
        <f>COUNTIF(E:E,E555)</f>
        <v>110</v>
      </c>
      <c r="H555">
        <f>COUNTIFS(E:E,E555,A:A,A555,D:D,D555)</f>
        <v>1</v>
      </c>
      <c r="I555" t="e">
        <f>SUMIF([1]Mapeamento!$J:$J,A555,[1]Mapeamento!$L:$L)</f>
        <v>#VALUE!</v>
      </c>
      <c r="J555" s="1" t="e">
        <f>SUMIF('[1]Map_Meso-Ox'!$C:$C,A555,'[1]Map_Meso-Ox'!$D:$D)</f>
        <v>#VALUE!</v>
      </c>
      <c r="K555" s="2" t="e">
        <f t="shared" si="18"/>
        <v>#VALUE!</v>
      </c>
      <c r="L555" s="1" t="e">
        <f>SUMIF('[1]Map_Meso-Ox'!$C:$C,A555,'[1]Map_Meso-Ox'!$E:$E)</f>
        <v>#VALUE!</v>
      </c>
      <c r="M555" s="2" t="e">
        <f t="shared" si="19"/>
        <v>#VALUE!</v>
      </c>
    </row>
    <row r="556" spans="1:13" x14ac:dyDescent="0.25">
      <c r="A556">
        <v>5</v>
      </c>
      <c r="B556">
        <v>3</v>
      </c>
      <c r="C556">
        <v>31.805</v>
      </c>
      <c r="D556">
        <v>1.5E-3</v>
      </c>
      <c r="E556" t="s">
        <v>18</v>
      </c>
      <c r="F556">
        <v>0</v>
      </c>
      <c r="G556">
        <f>COUNTIF(E:E,E556)</f>
        <v>110</v>
      </c>
      <c r="H556">
        <f>COUNTIFS(E:E,E556,A:A,A556,D:D,D556)</f>
        <v>1</v>
      </c>
      <c r="I556" t="e">
        <f>SUMIF([1]Mapeamento!$J:$J,A556,[1]Mapeamento!$L:$L)</f>
        <v>#VALUE!</v>
      </c>
      <c r="J556" s="1" t="e">
        <f>SUMIF('[1]Map_Meso-Ox'!$C:$C,A556,'[1]Map_Meso-Ox'!$D:$D)</f>
        <v>#VALUE!</v>
      </c>
      <c r="K556" s="2" t="e">
        <f t="shared" si="18"/>
        <v>#VALUE!</v>
      </c>
      <c r="L556" s="1" t="e">
        <f>SUMIF('[1]Map_Meso-Ox'!$C:$C,A556,'[1]Map_Meso-Ox'!$E:$E)</f>
        <v>#VALUE!</v>
      </c>
      <c r="M556" s="2" t="e">
        <f t="shared" si="19"/>
        <v>#VALUE!</v>
      </c>
    </row>
    <row r="557" spans="1:13" x14ac:dyDescent="0.25">
      <c r="A557">
        <v>6</v>
      </c>
      <c r="B557">
        <v>3</v>
      </c>
      <c r="C557">
        <v>22.326000000000001</v>
      </c>
      <c r="D557">
        <v>3.4000000000000002E-2</v>
      </c>
      <c r="E557" t="s">
        <v>18</v>
      </c>
      <c r="F557">
        <v>1</v>
      </c>
      <c r="G557">
        <f>COUNTIF(E:E,E557)</f>
        <v>110</v>
      </c>
      <c r="H557">
        <f>COUNTIFS(E:E,E557,A:A,A557,D:D,D557)</f>
        <v>1</v>
      </c>
      <c r="I557" t="e">
        <f>SUMIF([1]Mapeamento!$J:$J,A557,[1]Mapeamento!$L:$L)</f>
        <v>#VALUE!</v>
      </c>
      <c r="J557" s="1" t="e">
        <f>SUMIF('[1]Map_Meso-Ox'!$C:$C,A557,'[1]Map_Meso-Ox'!$D:$D)</f>
        <v>#VALUE!</v>
      </c>
      <c r="K557" s="2" t="e">
        <f t="shared" si="18"/>
        <v>#VALUE!</v>
      </c>
      <c r="L557" s="1" t="e">
        <f>SUMIF('[1]Map_Meso-Ox'!$C:$C,A557,'[1]Map_Meso-Ox'!$E:$E)</f>
        <v>#VALUE!</v>
      </c>
      <c r="M557" s="2" t="e">
        <f t="shared" si="19"/>
        <v>#VALUE!</v>
      </c>
    </row>
    <row r="558" spans="1:13" x14ac:dyDescent="0.25">
      <c r="A558">
        <v>7</v>
      </c>
      <c r="B558">
        <v>3</v>
      </c>
      <c r="C558">
        <v>24.576000000000001</v>
      </c>
      <c r="D558">
        <v>1.7000000000000001E-2</v>
      </c>
      <c r="E558" t="s">
        <v>18</v>
      </c>
      <c r="F558">
        <v>1</v>
      </c>
      <c r="G558">
        <f>COUNTIF(E:E,E558)</f>
        <v>110</v>
      </c>
      <c r="H558">
        <f>COUNTIFS(E:E,E558,A:A,A558,D:D,D558)</f>
        <v>1</v>
      </c>
      <c r="I558" t="e">
        <f>SUMIF([1]Mapeamento!$J:$J,A558,[1]Mapeamento!$L:$L)</f>
        <v>#VALUE!</v>
      </c>
      <c r="J558" s="1" t="e">
        <f>SUMIF('[1]Map_Meso-Ox'!$C:$C,A558,'[1]Map_Meso-Ox'!$D:$D)</f>
        <v>#VALUE!</v>
      </c>
      <c r="K558" s="2" t="e">
        <f t="shared" si="18"/>
        <v>#VALUE!</v>
      </c>
      <c r="L558" s="1" t="e">
        <f>SUMIF('[1]Map_Meso-Ox'!$C:$C,A558,'[1]Map_Meso-Ox'!$E:$E)</f>
        <v>#VALUE!</v>
      </c>
      <c r="M558" s="2" t="e">
        <f t="shared" si="19"/>
        <v>#VALUE!</v>
      </c>
    </row>
    <row r="559" spans="1:13" x14ac:dyDescent="0.25">
      <c r="A559">
        <v>8</v>
      </c>
      <c r="B559">
        <v>3</v>
      </c>
      <c r="C559">
        <v>36.188000000000002</v>
      </c>
      <c r="D559">
        <v>2.9999999999999997E-4</v>
      </c>
      <c r="E559" t="s">
        <v>18</v>
      </c>
      <c r="F559">
        <v>0</v>
      </c>
      <c r="G559">
        <f>COUNTIF(E:E,E559)</f>
        <v>110</v>
      </c>
      <c r="H559">
        <f>COUNTIFS(E:E,E559,A:A,A559,D:D,D559)</f>
        <v>1</v>
      </c>
      <c r="I559" t="e">
        <f>SUMIF([1]Mapeamento!$J:$J,A559,[1]Mapeamento!$L:$L)</f>
        <v>#VALUE!</v>
      </c>
      <c r="J559" s="1" t="e">
        <f>SUMIF('[1]Map_Meso-Ox'!$C:$C,A559,'[1]Map_Meso-Ox'!$D:$D)</f>
        <v>#VALUE!</v>
      </c>
      <c r="K559" s="2" t="e">
        <f t="shared" si="18"/>
        <v>#VALUE!</v>
      </c>
      <c r="L559" s="1" t="e">
        <f>SUMIF('[1]Map_Meso-Ox'!$C:$C,A559,'[1]Map_Meso-Ox'!$E:$E)</f>
        <v>#VALUE!</v>
      </c>
      <c r="M559" s="2" t="e">
        <f t="shared" si="19"/>
        <v>#VALUE!</v>
      </c>
    </row>
    <row r="560" spans="1:13" x14ac:dyDescent="0.25">
      <c r="A560">
        <v>9</v>
      </c>
      <c r="B560">
        <v>3</v>
      </c>
      <c r="C560">
        <v>21.204000000000001</v>
      </c>
      <c r="D560">
        <v>4.7500000000000001E-2</v>
      </c>
      <c r="E560" t="s">
        <v>18</v>
      </c>
      <c r="F560">
        <v>0</v>
      </c>
      <c r="G560">
        <f>COUNTIF(E:E,E560)</f>
        <v>110</v>
      </c>
      <c r="H560">
        <f>COUNTIFS(E:E,E560,A:A,A560,D:D,D560)</f>
        <v>1</v>
      </c>
      <c r="I560" t="e">
        <f>SUMIF([1]Mapeamento!$J:$J,A560,[1]Mapeamento!$L:$L)</f>
        <v>#VALUE!</v>
      </c>
      <c r="J560" s="1" t="e">
        <f>SUMIF('[1]Map_Meso-Ox'!$C:$C,A560,'[1]Map_Meso-Ox'!$D:$D)</f>
        <v>#VALUE!</v>
      </c>
      <c r="K560" s="2" t="e">
        <f t="shared" si="18"/>
        <v>#VALUE!</v>
      </c>
      <c r="L560" s="1" t="e">
        <f>SUMIF('[1]Map_Meso-Ox'!$C:$C,A560,'[1]Map_Meso-Ox'!$E:$E)</f>
        <v>#VALUE!</v>
      </c>
      <c r="M560" s="2" t="e">
        <f t="shared" si="19"/>
        <v>#VALUE!</v>
      </c>
    </row>
    <row r="561" spans="1:13" x14ac:dyDescent="0.25">
      <c r="A561">
        <v>10</v>
      </c>
      <c r="B561">
        <v>3</v>
      </c>
      <c r="C561">
        <v>19.393000000000001</v>
      </c>
      <c r="D561">
        <v>7.9500000000000001E-2</v>
      </c>
      <c r="E561" t="s">
        <v>18</v>
      </c>
      <c r="F561">
        <v>0</v>
      </c>
      <c r="G561">
        <f>COUNTIF(E:E,E561)</f>
        <v>110</v>
      </c>
      <c r="H561">
        <f>COUNTIFS(E:E,E561,A:A,A561,D:D,D561)</f>
        <v>1</v>
      </c>
      <c r="I561" t="e">
        <f>SUMIF([1]Mapeamento!$J:$J,A561,[1]Mapeamento!$L:$L)</f>
        <v>#VALUE!</v>
      </c>
      <c r="J561" s="1" t="e">
        <f>SUMIF('[1]Map_Meso-Ox'!$C:$C,A561,'[1]Map_Meso-Ox'!$D:$D)</f>
        <v>#VALUE!</v>
      </c>
      <c r="K561" s="2" t="e">
        <f t="shared" si="18"/>
        <v>#VALUE!</v>
      </c>
      <c r="L561" s="1" t="e">
        <f>SUMIF('[1]Map_Meso-Ox'!$C:$C,A561,'[1]Map_Meso-Ox'!$E:$E)</f>
        <v>#VALUE!</v>
      </c>
      <c r="M561" s="2" t="e">
        <f t="shared" si="19"/>
        <v>#VALUE!</v>
      </c>
    </row>
    <row r="562" spans="1:13" x14ac:dyDescent="0.25">
      <c r="A562">
        <v>11</v>
      </c>
      <c r="B562">
        <v>3</v>
      </c>
      <c r="C562">
        <v>25.736999999999998</v>
      </c>
      <c r="D562">
        <v>1.17E-2</v>
      </c>
      <c r="E562" t="s">
        <v>18</v>
      </c>
      <c r="F562">
        <v>0</v>
      </c>
      <c r="G562">
        <f>COUNTIF(E:E,E562)</f>
        <v>110</v>
      </c>
      <c r="H562">
        <f>COUNTIFS(E:E,E562,A:A,A562,D:D,D562)</f>
        <v>1</v>
      </c>
      <c r="I562" t="e">
        <f>SUMIF([1]Mapeamento!$J:$J,A562,[1]Mapeamento!$L:$L)</f>
        <v>#VALUE!</v>
      </c>
      <c r="J562" s="1" t="e">
        <f>SUMIF('[1]Map_Meso-Ox'!$C:$C,A562,'[1]Map_Meso-Ox'!$D:$D)</f>
        <v>#VALUE!</v>
      </c>
      <c r="K562" s="2" t="e">
        <f t="shared" si="18"/>
        <v>#VALUE!</v>
      </c>
      <c r="L562" s="1" t="e">
        <f>SUMIF('[1]Map_Meso-Ox'!$C:$C,A562,'[1]Map_Meso-Ox'!$E:$E)</f>
        <v>#VALUE!</v>
      </c>
      <c r="M562" s="2" t="e">
        <f t="shared" si="19"/>
        <v>#VALUE!</v>
      </c>
    </row>
    <row r="563" spans="1:13" x14ac:dyDescent="0.25">
      <c r="A563">
        <v>12</v>
      </c>
      <c r="B563">
        <v>3</v>
      </c>
      <c r="C563">
        <v>38.031999999999996</v>
      </c>
      <c r="D563">
        <v>2.0000000000000001E-4</v>
      </c>
      <c r="E563" t="s">
        <v>18</v>
      </c>
      <c r="F563">
        <v>1</v>
      </c>
      <c r="G563">
        <f>COUNTIF(E:E,E563)</f>
        <v>110</v>
      </c>
      <c r="H563">
        <f>COUNTIFS(E:E,E563,A:A,A563,D:D,D563)</f>
        <v>1</v>
      </c>
      <c r="I563" t="e">
        <f>SUMIF([1]Mapeamento!$J:$J,A563,[1]Mapeamento!$L:$L)</f>
        <v>#VALUE!</v>
      </c>
      <c r="J563" s="1" t="e">
        <f>SUMIF('[1]Map_Meso-Ox'!$C:$C,A563,'[1]Map_Meso-Ox'!$D:$D)</f>
        <v>#VALUE!</v>
      </c>
      <c r="K563" s="2" t="e">
        <f t="shared" si="18"/>
        <v>#VALUE!</v>
      </c>
      <c r="L563" s="1" t="e">
        <f>SUMIF('[1]Map_Meso-Ox'!$C:$C,A563,'[1]Map_Meso-Ox'!$E:$E)</f>
        <v>#VALUE!</v>
      </c>
      <c r="M563" s="2" t="e">
        <f t="shared" si="19"/>
        <v>#VALUE!</v>
      </c>
    </row>
    <row r="564" spans="1:13" x14ac:dyDescent="0.25">
      <c r="A564">
        <v>13</v>
      </c>
      <c r="B564">
        <v>3</v>
      </c>
      <c r="C564">
        <v>42.460999999999999</v>
      </c>
      <c r="D564">
        <v>0</v>
      </c>
      <c r="E564" t="s">
        <v>18</v>
      </c>
      <c r="F564">
        <v>1</v>
      </c>
      <c r="G564">
        <f>COUNTIF(E:E,E564)</f>
        <v>110</v>
      </c>
      <c r="H564">
        <f>COUNTIFS(E:E,E564,A:A,A564,D:D,D564)</f>
        <v>1</v>
      </c>
      <c r="I564" t="e">
        <f>SUMIF([1]Mapeamento!$J:$J,A564,[1]Mapeamento!$L:$L)</f>
        <v>#VALUE!</v>
      </c>
      <c r="J564" s="1" t="e">
        <f>SUMIF('[1]Map_Meso-Ox'!$C:$C,A564,'[1]Map_Meso-Ox'!$D:$D)</f>
        <v>#VALUE!</v>
      </c>
      <c r="K564" s="2" t="e">
        <f t="shared" si="18"/>
        <v>#VALUE!</v>
      </c>
      <c r="L564" s="1" t="e">
        <f>SUMIF('[1]Map_Meso-Ox'!$C:$C,A564,'[1]Map_Meso-Ox'!$E:$E)</f>
        <v>#VALUE!</v>
      </c>
      <c r="M564" s="2" t="e">
        <f t="shared" si="19"/>
        <v>#VALUE!</v>
      </c>
    </row>
    <row r="565" spans="1:13" x14ac:dyDescent="0.25">
      <c r="A565">
        <v>14</v>
      </c>
      <c r="B565">
        <v>3</v>
      </c>
      <c r="C565">
        <v>52.942999999999998</v>
      </c>
      <c r="D565">
        <v>0</v>
      </c>
      <c r="E565" t="s">
        <v>18</v>
      </c>
      <c r="F565">
        <v>1</v>
      </c>
      <c r="G565">
        <f>COUNTIF(E:E,E565)</f>
        <v>110</v>
      </c>
      <c r="H565">
        <f>COUNTIFS(E:E,E565,A:A,A565,D:D,D565)</f>
        <v>1</v>
      </c>
      <c r="I565" t="e">
        <f>SUMIF([1]Mapeamento!$J:$J,A565,[1]Mapeamento!$L:$L)</f>
        <v>#VALUE!</v>
      </c>
      <c r="J565" s="1" t="e">
        <f>SUMIF('[1]Map_Meso-Ox'!$C:$C,A565,'[1]Map_Meso-Ox'!$D:$D)</f>
        <v>#VALUE!</v>
      </c>
      <c r="K565" s="2" t="e">
        <f t="shared" si="18"/>
        <v>#VALUE!</v>
      </c>
      <c r="L565" s="1" t="e">
        <f>SUMIF('[1]Map_Meso-Ox'!$C:$C,A565,'[1]Map_Meso-Ox'!$E:$E)</f>
        <v>#VALUE!</v>
      </c>
      <c r="M565" s="2" t="e">
        <f t="shared" si="19"/>
        <v>#VALUE!</v>
      </c>
    </row>
    <row r="566" spans="1:13" x14ac:dyDescent="0.25">
      <c r="A566">
        <v>15</v>
      </c>
      <c r="B566">
        <v>3</v>
      </c>
      <c r="C566">
        <v>31.555</v>
      </c>
      <c r="D566">
        <v>1.6000000000000001E-3</v>
      </c>
      <c r="E566" t="s">
        <v>18</v>
      </c>
      <c r="F566">
        <v>0</v>
      </c>
      <c r="G566">
        <f>COUNTIF(E:E,E566)</f>
        <v>110</v>
      </c>
      <c r="H566">
        <f>COUNTIFS(E:E,E566,A:A,A566,D:D,D566)</f>
        <v>1</v>
      </c>
      <c r="I566" t="e">
        <f>SUMIF([1]Mapeamento!$J:$J,A566,[1]Mapeamento!$L:$L)</f>
        <v>#VALUE!</v>
      </c>
      <c r="J566" s="1" t="e">
        <f>SUMIF('[1]Map_Meso-Ox'!$C:$C,A566,'[1]Map_Meso-Ox'!$D:$D)</f>
        <v>#VALUE!</v>
      </c>
      <c r="K566" s="2" t="e">
        <f t="shared" si="18"/>
        <v>#VALUE!</v>
      </c>
      <c r="L566" s="1" t="e">
        <f>SUMIF('[1]Map_Meso-Ox'!$C:$C,A566,'[1]Map_Meso-Ox'!$E:$E)</f>
        <v>#VALUE!</v>
      </c>
      <c r="M566" s="2" t="e">
        <f t="shared" si="19"/>
        <v>#VALUE!</v>
      </c>
    </row>
    <row r="567" spans="1:13" x14ac:dyDescent="0.25">
      <c r="A567">
        <v>16</v>
      </c>
      <c r="B567">
        <v>3</v>
      </c>
      <c r="C567">
        <v>51.02</v>
      </c>
      <c r="D567">
        <v>0</v>
      </c>
      <c r="E567" t="s">
        <v>18</v>
      </c>
      <c r="F567">
        <v>1</v>
      </c>
      <c r="G567">
        <f>COUNTIF(E:E,E567)</f>
        <v>110</v>
      </c>
      <c r="H567">
        <f>COUNTIFS(E:E,E567,A:A,A567,D:D,D567)</f>
        <v>1</v>
      </c>
      <c r="I567" t="e">
        <f>SUMIF([1]Mapeamento!$J:$J,A567,[1]Mapeamento!$L:$L)</f>
        <v>#VALUE!</v>
      </c>
      <c r="J567" s="1" t="e">
        <f>SUMIF('[1]Map_Meso-Ox'!$C:$C,A567,'[1]Map_Meso-Ox'!$D:$D)</f>
        <v>#VALUE!</v>
      </c>
      <c r="K567" s="2" t="e">
        <f t="shared" si="18"/>
        <v>#VALUE!</v>
      </c>
      <c r="L567" s="1" t="e">
        <f>SUMIF('[1]Map_Meso-Ox'!$C:$C,A567,'[1]Map_Meso-Ox'!$E:$E)</f>
        <v>#VALUE!</v>
      </c>
      <c r="M567" s="2" t="e">
        <f t="shared" si="19"/>
        <v>#VALUE!</v>
      </c>
    </row>
    <row r="568" spans="1:13" x14ac:dyDescent="0.25">
      <c r="A568">
        <v>17</v>
      </c>
      <c r="B568">
        <v>3</v>
      </c>
      <c r="C568">
        <v>61.85</v>
      </c>
      <c r="D568">
        <v>0</v>
      </c>
      <c r="E568" t="s">
        <v>18</v>
      </c>
      <c r="F568">
        <v>3</v>
      </c>
      <c r="G568">
        <f>COUNTIF(E:E,E568)</f>
        <v>110</v>
      </c>
      <c r="H568">
        <f>COUNTIFS(E:E,E568,A:A,A568,D:D,D568)</f>
        <v>1</v>
      </c>
      <c r="I568" t="e">
        <f>SUMIF([1]Mapeamento!$J:$J,A568,[1]Mapeamento!$L:$L)</f>
        <v>#VALUE!</v>
      </c>
      <c r="J568" s="1" t="e">
        <f>SUMIF('[1]Map_Meso-Ox'!$C:$C,A568,'[1]Map_Meso-Ox'!$D:$D)</f>
        <v>#VALUE!</v>
      </c>
      <c r="K568" s="2" t="e">
        <f t="shared" si="18"/>
        <v>#VALUE!</v>
      </c>
      <c r="L568" s="1" t="e">
        <f>SUMIF('[1]Map_Meso-Ox'!$C:$C,A568,'[1]Map_Meso-Ox'!$E:$E)</f>
        <v>#VALUE!</v>
      </c>
      <c r="M568" s="2" t="e">
        <f t="shared" si="19"/>
        <v>#VALUE!</v>
      </c>
    </row>
    <row r="569" spans="1:13" x14ac:dyDescent="0.25">
      <c r="A569">
        <v>18</v>
      </c>
      <c r="B569">
        <v>3</v>
      </c>
      <c r="C569">
        <v>36.433</v>
      </c>
      <c r="D569">
        <v>2.9999999999999997E-4</v>
      </c>
      <c r="E569" t="s">
        <v>18</v>
      </c>
      <c r="F569">
        <v>3</v>
      </c>
      <c r="G569">
        <f>COUNTIF(E:E,E569)</f>
        <v>110</v>
      </c>
      <c r="H569">
        <f>COUNTIFS(E:E,E569,A:A,A569,D:D,D569)</f>
        <v>1</v>
      </c>
      <c r="I569" t="e">
        <f>SUMIF([1]Mapeamento!$J:$J,A569,[1]Mapeamento!$L:$L)</f>
        <v>#VALUE!</v>
      </c>
      <c r="J569" s="1" t="e">
        <f>SUMIF('[1]Map_Meso-Ox'!$C:$C,A569,'[1]Map_Meso-Ox'!$D:$D)</f>
        <v>#VALUE!</v>
      </c>
      <c r="K569" s="2" t="e">
        <f t="shared" si="18"/>
        <v>#VALUE!</v>
      </c>
      <c r="L569" s="1" t="e">
        <f>SUMIF('[1]Map_Meso-Ox'!$C:$C,A569,'[1]Map_Meso-Ox'!$E:$E)</f>
        <v>#VALUE!</v>
      </c>
      <c r="M569" s="2" t="e">
        <f t="shared" si="19"/>
        <v>#VALUE!</v>
      </c>
    </row>
    <row r="570" spans="1:13" x14ac:dyDescent="0.25">
      <c r="A570">
        <v>19</v>
      </c>
      <c r="B570">
        <v>3</v>
      </c>
      <c r="C570">
        <v>53.276000000000003</v>
      </c>
      <c r="D570">
        <v>0</v>
      </c>
      <c r="E570" t="s">
        <v>18</v>
      </c>
      <c r="F570">
        <v>2</v>
      </c>
      <c r="G570">
        <f>COUNTIF(E:E,E570)</f>
        <v>110</v>
      </c>
      <c r="H570">
        <f>COUNTIFS(E:E,E570,A:A,A570,D:D,D570)</f>
        <v>1</v>
      </c>
      <c r="I570" t="e">
        <f>SUMIF([1]Mapeamento!$J:$J,A570,[1]Mapeamento!$L:$L)</f>
        <v>#VALUE!</v>
      </c>
      <c r="J570" s="1" t="e">
        <f>SUMIF('[1]Map_Meso-Ox'!$C:$C,A570,'[1]Map_Meso-Ox'!$D:$D)</f>
        <v>#VALUE!</v>
      </c>
      <c r="K570" s="2" t="e">
        <f t="shared" si="18"/>
        <v>#VALUE!</v>
      </c>
      <c r="L570" s="1" t="e">
        <f>SUMIF('[1]Map_Meso-Ox'!$C:$C,A570,'[1]Map_Meso-Ox'!$E:$E)</f>
        <v>#VALUE!</v>
      </c>
      <c r="M570" s="2" t="e">
        <f t="shared" si="19"/>
        <v>#VALUE!</v>
      </c>
    </row>
    <row r="571" spans="1:13" x14ac:dyDescent="0.25">
      <c r="A571">
        <v>20</v>
      </c>
      <c r="B571">
        <v>3</v>
      </c>
      <c r="C571">
        <v>60.869</v>
      </c>
      <c r="D571">
        <v>0</v>
      </c>
      <c r="E571" t="s">
        <v>18</v>
      </c>
      <c r="F571">
        <v>2</v>
      </c>
      <c r="G571">
        <f>COUNTIF(E:E,E571)</f>
        <v>110</v>
      </c>
      <c r="H571">
        <f>COUNTIFS(E:E,E571,A:A,A571,D:D,D571)</f>
        <v>1</v>
      </c>
      <c r="I571" t="e">
        <f>SUMIF([1]Mapeamento!$J:$J,A571,[1]Mapeamento!$L:$L)</f>
        <v>#VALUE!</v>
      </c>
      <c r="J571" s="1" t="e">
        <f>SUMIF('[1]Map_Meso-Ox'!$C:$C,A571,'[1]Map_Meso-Ox'!$D:$D)</f>
        <v>#VALUE!</v>
      </c>
      <c r="K571" s="2" t="e">
        <f t="shared" si="18"/>
        <v>#VALUE!</v>
      </c>
      <c r="L571" s="1" t="e">
        <f>SUMIF('[1]Map_Meso-Ox'!$C:$C,A571,'[1]Map_Meso-Ox'!$E:$E)</f>
        <v>#VALUE!</v>
      </c>
      <c r="M571" s="2" t="e">
        <f t="shared" si="19"/>
        <v>#VALUE!</v>
      </c>
    </row>
    <row r="572" spans="1:13" x14ac:dyDescent="0.25">
      <c r="A572">
        <v>21</v>
      </c>
      <c r="B572">
        <v>3</v>
      </c>
      <c r="C572">
        <v>44.3</v>
      </c>
      <c r="D572">
        <v>0</v>
      </c>
      <c r="E572" t="s">
        <v>18</v>
      </c>
      <c r="F572">
        <v>2</v>
      </c>
      <c r="G572">
        <f>COUNTIF(E:E,E572)</f>
        <v>110</v>
      </c>
      <c r="H572">
        <f>COUNTIFS(E:E,E572,A:A,A572,D:D,D572)</f>
        <v>1</v>
      </c>
      <c r="I572" t="e">
        <f>SUMIF([1]Mapeamento!$J:$J,A572,[1]Mapeamento!$L:$L)</f>
        <v>#VALUE!</v>
      </c>
      <c r="J572" s="1" t="e">
        <f>SUMIF('[1]Map_Meso-Ox'!$C:$C,A572,'[1]Map_Meso-Ox'!$D:$D)</f>
        <v>#VALUE!</v>
      </c>
      <c r="K572" s="2" t="e">
        <f t="shared" si="18"/>
        <v>#VALUE!</v>
      </c>
      <c r="L572" s="1" t="e">
        <f>SUMIF('[1]Map_Meso-Ox'!$C:$C,A572,'[1]Map_Meso-Ox'!$E:$E)</f>
        <v>#VALUE!</v>
      </c>
      <c r="M572" s="2" t="e">
        <f t="shared" si="19"/>
        <v>#VALUE!</v>
      </c>
    </row>
    <row r="573" spans="1:13" x14ac:dyDescent="0.25">
      <c r="A573">
        <v>22</v>
      </c>
      <c r="B573">
        <v>3</v>
      </c>
      <c r="C573">
        <v>40.054000000000002</v>
      </c>
      <c r="D573">
        <v>1E-4</v>
      </c>
      <c r="E573" t="s">
        <v>18</v>
      </c>
      <c r="F573">
        <v>3</v>
      </c>
      <c r="G573">
        <f>COUNTIF(E:E,E573)</f>
        <v>110</v>
      </c>
      <c r="H573">
        <f>COUNTIFS(E:E,E573,A:A,A573,D:D,D573)</f>
        <v>1</v>
      </c>
      <c r="I573" t="e">
        <f>SUMIF([1]Mapeamento!$J:$J,A573,[1]Mapeamento!$L:$L)</f>
        <v>#VALUE!</v>
      </c>
      <c r="J573" s="1" t="e">
        <f>SUMIF('[1]Map_Meso-Ox'!$C:$C,A573,'[1]Map_Meso-Ox'!$D:$D)</f>
        <v>#VALUE!</v>
      </c>
      <c r="K573" s="2" t="e">
        <f t="shared" si="18"/>
        <v>#VALUE!</v>
      </c>
      <c r="L573" s="1" t="e">
        <f>SUMIF('[1]Map_Meso-Ox'!$C:$C,A573,'[1]Map_Meso-Ox'!$E:$E)</f>
        <v>#VALUE!</v>
      </c>
      <c r="M573" s="2" t="e">
        <f t="shared" si="19"/>
        <v>#VALUE!</v>
      </c>
    </row>
    <row r="574" spans="1:13" x14ac:dyDescent="0.25">
      <c r="A574">
        <v>23</v>
      </c>
      <c r="B574">
        <v>3</v>
      </c>
      <c r="C574">
        <v>42.063000000000002</v>
      </c>
      <c r="D574">
        <v>0</v>
      </c>
      <c r="E574" t="s">
        <v>18</v>
      </c>
      <c r="F574">
        <v>1</v>
      </c>
      <c r="G574">
        <f>COUNTIF(E:E,E574)</f>
        <v>110</v>
      </c>
      <c r="H574">
        <f>COUNTIFS(E:E,E574,A:A,A574,D:D,D574)</f>
        <v>1</v>
      </c>
      <c r="I574" t="e">
        <f>SUMIF([1]Mapeamento!$J:$J,A574,[1]Mapeamento!$L:$L)</f>
        <v>#VALUE!</v>
      </c>
      <c r="J574" s="1" t="e">
        <f>SUMIF('[1]Map_Meso-Ox'!$C:$C,A574,'[1]Map_Meso-Ox'!$D:$D)</f>
        <v>#VALUE!</v>
      </c>
      <c r="K574" s="2" t="e">
        <f t="shared" si="18"/>
        <v>#VALUE!</v>
      </c>
      <c r="L574" s="1" t="e">
        <f>SUMIF('[1]Map_Meso-Ox'!$C:$C,A574,'[1]Map_Meso-Ox'!$E:$E)</f>
        <v>#VALUE!</v>
      </c>
      <c r="M574" s="2" t="e">
        <f t="shared" si="19"/>
        <v>#VALUE!</v>
      </c>
    </row>
    <row r="575" spans="1:13" x14ac:dyDescent="0.25">
      <c r="A575">
        <v>24</v>
      </c>
      <c r="B575">
        <v>3</v>
      </c>
      <c r="C575">
        <v>47.76</v>
      </c>
      <c r="D575">
        <v>0</v>
      </c>
      <c r="E575" t="s">
        <v>18</v>
      </c>
      <c r="F575">
        <v>1</v>
      </c>
      <c r="G575">
        <f>COUNTIF(E:E,E575)</f>
        <v>110</v>
      </c>
      <c r="H575">
        <f>COUNTIFS(E:E,E575,A:A,A575,D:D,D575)</f>
        <v>1</v>
      </c>
      <c r="I575" t="e">
        <f>SUMIF([1]Mapeamento!$J:$J,A575,[1]Mapeamento!$L:$L)</f>
        <v>#VALUE!</v>
      </c>
      <c r="J575" s="1" t="e">
        <f>SUMIF('[1]Map_Meso-Ox'!$C:$C,A575,'[1]Map_Meso-Ox'!$D:$D)</f>
        <v>#VALUE!</v>
      </c>
      <c r="K575" s="2" t="e">
        <f t="shared" si="18"/>
        <v>#VALUE!</v>
      </c>
      <c r="L575" s="1" t="e">
        <f>SUMIF('[1]Map_Meso-Ox'!$C:$C,A575,'[1]Map_Meso-Ox'!$E:$E)</f>
        <v>#VALUE!</v>
      </c>
      <c r="M575" s="2" t="e">
        <f t="shared" si="19"/>
        <v>#VALUE!</v>
      </c>
    </row>
    <row r="576" spans="1:13" x14ac:dyDescent="0.25">
      <c r="A576">
        <v>25</v>
      </c>
      <c r="B576">
        <v>3</v>
      </c>
      <c r="C576">
        <v>32.195</v>
      </c>
      <c r="D576">
        <v>1.2999999999999999E-3</v>
      </c>
      <c r="E576" t="s">
        <v>18</v>
      </c>
      <c r="F576">
        <v>1</v>
      </c>
      <c r="G576">
        <f>COUNTIF(E:E,E576)</f>
        <v>110</v>
      </c>
      <c r="H576">
        <f>COUNTIFS(E:E,E576,A:A,A576,D:D,D576)</f>
        <v>1</v>
      </c>
      <c r="I576" t="e">
        <f>SUMIF([1]Mapeamento!$J:$J,A576,[1]Mapeamento!$L:$L)</f>
        <v>#VALUE!</v>
      </c>
      <c r="J576" s="1" t="e">
        <f>SUMIF('[1]Map_Meso-Ox'!$C:$C,A576,'[1]Map_Meso-Ox'!$D:$D)</f>
        <v>#VALUE!</v>
      </c>
      <c r="K576" s="2" t="e">
        <f t="shared" si="18"/>
        <v>#VALUE!</v>
      </c>
      <c r="L576" s="1" t="e">
        <f>SUMIF('[1]Map_Meso-Ox'!$C:$C,A576,'[1]Map_Meso-Ox'!$E:$E)</f>
        <v>#VALUE!</v>
      </c>
      <c r="M576" s="2" t="e">
        <f t="shared" si="19"/>
        <v>#VALUE!</v>
      </c>
    </row>
    <row r="577" spans="1:13" x14ac:dyDescent="0.25">
      <c r="A577">
        <v>26</v>
      </c>
      <c r="B577">
        <v>3</v>
      </c>
      <c r="C577">
        <v>42.454000000000001</v>
      </c>
      <c r="D577">
        <v>0</v>
      </c>
      <c r="E577" t="s">
        <v>18</v>
      </c>
      <c r="F577">
        <v>2</v>
      </c>
      <c r="G577">
        <f>COUNTIF(E:E,E577)</f>
        <v>110</v>
      </c>
      <c r="H577">
        <f>COUNTIFS(E:E,E577,A:A,A577,D:D,D577)</f>
        <v>1</v>
      </c>
      <c r="I577" t="e">
        <f>SUMIF([1]Mapeamento!$J:$J,A577,[1]Mapeamento!$L:$L)</f>
        <v>#VALUE!</v>
      </c>
      <c r="J577" s="1" t="e">
        <f>SUMIF('[1]Map_Meso-Ox'!$C:$C,A577,'[1]Map_Meso-Ox'!$D:$D)</f>
        <v>#VALUE!</v>
      </c>
      <c r="K577" s="2" t="e">
        <f t="shared" si="18"/>
        <v>#VALUE!</v>
      </c>
      <c r="L577" s="1" t="e">
        <f>SUMIF('[1]Map_Meso-Ox'!$C:$C,A577,'[1]Map_Meso-Ox'!$E:$E)</f>
        <v>#VALUE!</v>
      </c>
      <c r="M577" s="2" t="e">
        <f t="shared" si="19"/>
        <v>#VALUE!</v>
      </c>
    </row>
    <row r="578" spans="1:13" x14ac:dyDescent="0.25">
      <c r="A578">
        <v>27</v>
      </c>
      <c r="B578">
        <v>3</v>
      </c>
      <c r="C578">
        <v>29.448</v>
      </c>
      <c r="D578">
        <v>3.3999999999999998E-3</v>
      </c>
      <c r="E578" t="s">
        <v>18</v>
      </c>
      <c r="F578">
        <v>0</v>
      </c>
      <c r="G578">
        <f>COUNTIF(E:E,E578)</f>
        <v>110</v>
      </c>
      <c r="H578">
        <f>COUNTIFS(E:E,E578,A:A,A578,D:D,D578)</f>
        <v>1</v>
      </c>
      <c r="I578" t="e">
        <f>SUMIF([1]Mapeamento!$J:$J,A578,[1]Mapeamento!$L:$L)</f>
        <v>#VALUE!</v>
      </c>
      <c r="J578" s="1" t="e">
        <f>SUMIF('[1]Map_Meso-Ox'!$C:$C,A578,'[1]Map_Meso-Ox'!$D:$D)</f>
        <v>#VALUE!</v>
      </c>
      <c r="K578" s="2" t="e">
        <f t="shared" si="18"/>
        <v>#VALUE!</v>
      </c>
      <c r="L578" s="1" t="e">
        <f>SUMIF('[1]Map_Meso-Ox'!$C:$C,A578,'[1]Map_Meso-Ox'!$E:$E)</f>
        <v>#VALUE!</v>
      </c>
      <c r="M578" s="2" t="e">
        <f t="shared" si="19"/>
        <v>#VALUE!</v>
      </c>
    </row>
    <row r="579" spans="1:13" x14ac:dyDescent="0.25">
      <c r="A579">
        <v>28</v>
      </c>
      <c r="B579">
        <v>3</v>
      </c>
      <c r="C579">
        <v>61.113</v>
      </c>
      <c r="D579">
        <v>0</v>
      </c>
      <c r="E579" t="s">
        <v>18</v>
      </c>
      <c r="F579">
        <v>2</v>
      </c>
      <c r="G579">
        <f>COUNTIF(E:E,E579)</f>
        <v>110</v>
      </c>
      <c r="H579">
        <f>COUNTIFS(E:E,E579,A:A,A579,D:D,D579)</f>
        <v>1</v>
      </c>
      <c r="I579" t="e">
        <f>SUMIF([1]Mapeamento!$J:$J,A579,[1]Mapeamento!$L:$L)</f>
        <v>#VALUE!</v>
      </c>
      <c r="J579" s="1" t="e">
        <f>SUMIF('[1]Map_Meso-Ox'!$C:$C,A579,'[1]Map_Meso-Ox'!$D:$D)</f>
        <v>#VALUE!</v>
      </c>
      <c r="K579" s="2" t="e">
        <f t="shared" si="18"/>
        <v>#VALUE!</v>
      </c>
      <c r="L579" s="1" t="e">
        <f>SUMIF('[1]Map_Meso-Ox'!$C:$C,A579,'[1]Map_Meso-Ox'!$E:$E)</f>
        <v>#VALUE!</v>
      </c>
      <c r="M579" s="2" t="e">
        <f t="shared" si="19"/>
        <v>#VALUE!</v>
      </c>
    </row>
    <row r="580" spans="1:13" x14ac:dyDescent="0.25">
      <c r="A580">
        <v>29</v>
      </c>
      <c r="B580">
        <v>3</v>
      </c>
      <c r="C580">
        <v>39.359000000000002</v>
      </c>
      <c r="D580">
        <v>1E-4</v>
      </c>
      <c r="E580" t="s">
        <v>18</v>
      </c>
      <c r="F580">
        <v>1</v>
      </c>
      <c r="G580">
        <f>COUNTIF(E:E,E580)</f>
        <v>110</v>
      </c>
      <c r="H580">
        <f>COUNTIFS(E:E,E580,A:A,A580,D:D,D580)</f>
        <v>1</v>
      </c>
      <c r="I580" t="e">
        <f>SUMIF([1]Mapeamento!$J:$J,A580,[1]Mapeamento!$L:$L)</f>
        <v>#VALUE!</v>
      </c>
      <c r="J580" s="1" t="e">
        <f>SUMIF('[1]Map_Meso-Ox'!$C:$C,A580,'[1]Map_Meso-Ox'!$D:$D)</f>
        <v>#VALUE!</v>
      </c>
      <c r="K580" s="2" t="e">
        <f t="shared" si="18"/>
        <v>#VALUE!</v>
      </c>
      <c r="L580" s="1" t="e">
        <f>SUMIF('[1]Map_Meso-Ox'!$C:$C,A580,'[1]Map_Meso-Ox'!$E:$E)</f>
        <v>#VALUE!</v>
      </c>
      <c r="M580" s="2" t="e">
        <f t="shared" si="19"/>
        <v>#VALUE!</v>
      </c>
    </row>
    <row r="581" spans="1:13" x14ac:dyDescent="0.25">
      <c r="A581">
        <v>30</v>
      </c>
      <c r="B581">
        <v>3</v>
      </c>
      <c r="C581">
        <v>38.521000000000001</v>
      </c>
      <c r="D581">
        <v>1E-4</v>
      </c>
      <c r="E581" t="s">
        <v>18</v>
      </c>
      <c r="F581">
        <v>1</v>
      </c>
      <c r="G581">
        <f>COUNTIF(E:E,E581)</f>
        <v>110</v>
      </c>
      <c r="H581">
        <f>COUNTIFS(E:E,E581,A:A,A581,D:D,D581)</f>
        <v>1</v>
      </c>
      <c r="I581" t="e">
        <f>SUMIF([1]Mapeamento!$J:$J,A581,[1]Mapeamento!$L:$L)</f>
        <v>#VALUE!</v>
      </c>
      <c r="J581" s="1" t="e">
        <f>SUMIF('[1]Map_Meso-Ox'!$C:$C,A581,'[1]Map_Meso-Ox'!$D:$D)</f>
        <v>#VALUE!</v>
      </c>
      <c r="K581" s="2" t="e">
        <f t="shared" si="18"/>
        <v>#VALUE!</v>
      </c>
      <c r="L581" s="1" t="e">
        <f>SUMIF('[1]Map_Meso-Ox'!$C:$C,A581,'[1]Map_Meso-Ox'!$E:$E)</f>
        <v>#VALUE!</v>
      </c>
      <c r="M581" s="2" t="e">
        <f t="shared" si="19"/>
        <v>#VALUE!</v>
      </c>
    </row>
    <row r="582" spans="1:13" x14ac:dyDescent="0.25">
      <c r="A582">
        <v>31</v>
      </c>
      <c r="B582">
        <v>3</v>
      </c>
      <c r="C582">
        <v>64.230999999999995</v>
      </c>
      <c r="D582">
        <v>0</v>
      </c>
      <c r="E582" t="s">
        <v>18</v>
      </c>
      <c r="F582">
        <v>1</v>
      </c>
      <c r="G582">
        <f>COUNTIF(E:E,E582)</f>
        <v>110</v>
      </c>
      <c r="H582">
        <f>COUNTIFS(E:E,E582,A:A,A582,D:D,D582)</f>
        <v>1</v>
      </c>
      <c r="I582" t="e">
        <f>SUMIF([1]Mapeamento!$J:$J,A582,[1]Mapeamento!$L:$L)</f>
        <v>#VALUE!</v>
      </c>
      <c r="J582" s="1" t="e">
        <f>SUMIF('[1]Map_Meso-Ox'!$C:$C,A582,'[1]Map_Meso-Ox'!$D:$D)</f>
        <v>#VALUE!</v>
      </c>
      <c r="K582" s="2" t="e">
        <f t="shared" si="18"/>
        <v>#VALUE!</v>
      </c>
      <c r="L582" s="1" t="e">
        <f>SUMIF('[1]Map_Meso-Ox'!$C:$C,A582,'[1]Map_Meso-Ox'!$E:$E)</f>
        <v>#VALUE!</v>
      </c>
      <c r="M582" s="2" t="e">
        <f t="shared" si="19"/>
        <v>#VALUE!</v>
      </c>
    </row>
    <row r="583" spans="1:13" x14ac:dyDescent="0.25">
      <c r="A583">
        <v>32</v>
      </c>
      <c r="B583">
        <v>3</v>
      </c>
      <c r="C583">
        <v>43.683</v>
      </c>
      <c r="D583">
        <v>0</v>
      </c>
      <c r="E583" t="s">
        <v>18</v>
      </c>
      <c r="F583">
        <v>1</v>
      </c>
      <c r="G583">
        <f>COUNTIF(E:E,E583)</f>
        <v>110</v>
      </c>
      <c r="H583">
        <f>COUNTIFS(E:E,E583,A:A,A583,D:D,D583)</f>
        <v>1</v>
      </c>
      <c r="I583" t="e">
        <f>SUMIF([1]Mapeamento!$J:$J,A583,[1]Mapeamento!$L:$L)</f>
        <v>#VALUE!</v>
      </c>
      <c r="J583" s="1" t="e">
        <f>SUMIF('[1]Map_Meso-Ox'!$C:$C,A583,'[1]Map_Meso-Ox'!$D:$D)</f>
        <v>#VALUE!</v>
      </c>
      <c r="K583" s="2" t="e">
        <f t="shared" si="18"/>
        <v>#VALUE!</v>
      </c>
      <c r="L583" s="1" t="e">
        <f>SUMIF('[1]Map_Meso-Ox'!$C:$C,A583,'[1]Map_Meso-Ox'!$E:$E)</f>
        <v>#VALUE!</v>
      </c>
      <c r="M583" s="2" t="e">
        <f t="shared" si="19"/>
        <v>#VALUE!</v>
      </c>
    </row>
    <row r="584" spans="1:13" x14ac:dyDescent="0.25">
      <c r="A584">
        <v>33</v>
      </c>
      <c r="B584">
        <v>3</v>
      </c>
      <c r="C584">
        <v>23.788</v>
      </c>
      <c r="D584">
        <v>2.1700000000000001E-2</v>
      </c>
      <c r="E584" t="s">
        <v>18</v>
      </c>
      <c r="F584">
        <v>0</v>
      </c>
      <c r="G584">
        <f>COUNTIF(E:E,E584)</f>
        <v>110</v>
      </c>
      <c r="H584">
        <f>COUNTIFS(E:E,E584,A:A,A584,D:D,D584)</f>
        <v>1</v>
      </c>
      <c r="I584" t="e">
        <f>SUMIF([1]Mapeamento!$J:$J,A584,[1]Mapeamento!$L:$L)</f>
        <v>#VALUE!</v>
      </c>
      <c r="J584" s="1" t="e">
        <f>SUMIF('[1]Map_Meso-Ox'!$C:$C,A584,'[1]Map_Meso-Ox'!$D:$D)</f>
        <v>#VALUE!</v>
      </c>
      <c r="K584" s="2" t="e">
        <f t="shared" si="18"/>
        <v>#VALUE!</v>
      </c>
      <c r="L584" s="1" t="e">
        <f>SUMIF('[1]Map_Meso-Ox'!$C:$C,A584,'[1]Map_Meso-Ox'!$E:$E)</f>
        <v>#VALUE!</v>
      </c>
      <c r="M584" s="2" t="e">
        <f t="shared" si="19"/>
        <v>#VALUE!</v>
      </c>
    </row>
    <row r="585" spans="1:13" x14ac:dyDescent="0.25">
      <c r="A585">
        <v>34</v>
      </c>
      <c r="B585">
        <v>3</v>
      </c>
      <c r="C585">
        <v>42.604999999999997</v>
      </c>
      <c r="D585">
        <v>0</v>
      </c>
      <c r="E585" t="s">
        <v>18</v>
      </c>
      <c r="F585">
        <v>2</v>
      </c>
      <c r="G585">
        <f>COUNTIF(E:E,E585)</f>
        <v>110</v>
      </c>
      <c r="H585">
        <f>COUNTIFS(E:E,E585,A:A,A585,D:D,D585)</f>
        <v>1</v>
      </c>
      <c r="I585" t="e">
        <f>SUMIF([1]Mapeamento!$J:$J,A585,[1]Mapeamento!$L:$L)</f>
        <v>#VALUE!</v>
      </c>
      <c r="J585" s="1" t="e">
        <f>SUMIF('[1]Map_Meso-Ox'!$C:$C,A585,'[1]Map_Meso-Ox'!$D:$D)</f>
        <v>#VALUE!</v>
      </c>
      <c r="K585" s="2" t="e">
        <f t="shared" si="18"/>
        <v>#VALUE!</v>
      </c>
      <c r="L585" s="1" t="e">
        <f>SUMIF('[1]Map_Meso-Ox'!$C:$C,A585,'[1]Map_Meso-Ox'!$E:$E)</f>
        <v>#VALUE!</v>
      </c>
      <c r="M585" s="2" t="e">
        <f t="shared" si="19"/>
        <v>#VALUE!</v>
      </c>
    </row>
    <row r="586" spans="1:13" x14ac:dyDescent="0.25">
      <c r="A586">
        <v>35</v>
      </c>
      <c r="B586">
        <v>3</v>
      </c>
      <c r="C586">
        <v>21.452000000000002</v>
      </c>
      <c r="D586">
        <v>4.41E-2</v>
      </c>
      <c r="E586" t="s">
        <v>18</v>
      </c>
      <c r="F586">
        <v>0</v>
      </c>
      <c r="G586">
        <f>COUNTIF(E:E,E586)</f>
        <v>110</v>
      </c>
      <c r="H586">
        <f>COUNTIFS(E:E,E586,A:A,A586,D:D,D586)</f>
        <v>1</v>
      </c>
      <c r="I586" t="e">
        <f>SUMIF([1]Mapeamento!$J:$J,A586,[1]Mapeamento!$L:$L)</f>
        <v>#VALUE!</v>
      </c>
      <c r="J586" s="1" t="e">
        <f>SUMIF('[1]Map_Meso-Ox'!$C:$C,A586,'[1]Map_Meso-Ox'!$D:$D)</f>
        <v>#VALUE!</v>
      </c>
      <c r="K586" s="2" t="e">
        <f t="shared" si="18"/>
        <v>#VALUE!</v>
      </c>
      <c r="L586" s="1" t="e">
        <f>SUMIF('[1]Map_Meso-Ox'!$C:$C,A586,'[1]Map_Meso-Ox'!$E:$E)</f>
        <v>#VALUE!</v>
      </c>
      <c r="M586" s="2" t="e">
        <f t="shared" si="19"/>
        <v>#VALUE!</v>
      </c>
    </row>
    <row r="587" spans="1:13" x14ac:dyDescent="0.25">
      <c r="A587">
        <v>36</v>
      </c>
      <c r="B587">
        <v>3</v>
      </c>
      <c r="C587">
        <v>27.263000000000002</v>
      </c>
      <c r="D587">
        <v>7.1000000000000004E-3</v>
      </c>
      <c r="E587" t="s">
        <v>18</v>
      </c>
      <c r="F587">
        <v>2</v>
      </c>
      <c r="G587">
        <f>COUNTIF(E:E,E587)</f>
        <v>110</v>
      </c>
      <c r="H587">
        <f>COUNTIFS(E:E,E587,A:A,A587,D:D,D587)</f>
        <v>1</v>
      </c>
      <c r="I587" t="e">
        <f>SUMIF([1]Mapeamento!$J:$J,A587,[1]Mapeamento!$L:$L)</f>
        <v>#VALUE!</v>
      </c>
      <c r="J587" s="1" t="e">
        <f>SUMIF('[1]Map_Meso-Ox'!$C:$C,A587,'[1]Map_Meso-Ox'!$D:$D)</f>
        <v>#VALUE!</v>
      </c>
      <c r="K587" s="2" t="e">
        <f t="shared" si="18"/>
        <v>#VALUE!</v>
      </c>
      <c r="L587" s="1" t="e">
        <f>SUMIF('[1]Map_Meso-Ox'!$C:$C,A587,'[1]Map_Meso-Ox'!$E:$E)</f>
        <v>#VALUE!</v>
      </c>
      <c r="M587" s="2" t="e">
        <f t="shared" si="19"/>
        <v>#VALUE!</v>
      </c>
    </row>
    <row r="588" spans="1:13" x14ac:dyDescent="0.25">
      <c r="A588">
        <v>37</v>
      </c>
      <c r="B588">
        <v>3</v>
      </c>
      <c r="C588">
        <v>49.668999999999997</v>
      </c>
      <c r="D588">
        <v>0</v>
      </c>
      <c r="E588" t="s">
        <v>18</v>
      </c>
      <c r="F588">
        <v>1</v>
      </c>
      <c r="G588">
        <f>COUNTIF(E:E,E588)</f>
        <v>110</v>
      </c>
      <c r="H588">
        <f>COUNTIFS(E:E,E588,A:A,A588,D:D,D588)</f>
        <v>1</v>
      </c>
      <c r="I588" t="e">
        <f>SUMIF([1]Mapeamento!$J:$J,A588,[1]Mapeamento!$L:$L)</f>
        <v>#VALUE!</v>
      </c>
      <c r="J588" s="1" t="e">
        <f>SUMIF('[1]Map_Meso-Ox'!$C:$C,A588,'[1]Map_Meso-Ox'!$D:$D)</f>
        <v>#VALUE!</v>
      </c>
      <c r="K588" s="2" t="e">
        <f t="shared" si="18"/>
        <v>#VALUE!</v>
      </c>
      <c r="L588" s="1" t="e">
        <f>SUMIF('[1]Map_Meso-Ox'!$C:$C,A588,'[1]Map_Meso-Ox'!$E:$E)</f>
        <v>#VALUE!</v>
      </c>
      <c r="M588" s="2" t="e">
        <f t="shared" si="19"/>
        <v>#VALUE!</v>
      </c>
    </row>
    <row r="589" spans="1:13" x14ac:dyDescent="0.25">
      <c r="A589">
        <v>38</v>
      </c>
      <c r="B589">
        <v>3</v>
      </c>
      <c r="C589">
        <v>24.47</v>
      </c>
      <c r="D589">
        <v>1.7500000000000002E-2</v>
      </c>
      <c r="E589" t="s">
        <v>18</v>
      </c>
      <c r="F589">
        <v>0</v>
      </c>
      <c r="G589">
        <f>COUNTIF(E:E,E589)</f>
        <v>110</v>
      </c>
      <c r="H589">
        <f>COUNTIFS(E:E,E589,A:A,A589,D:D,D589)</f>
        <v>1</v>
      </c>
      <c r="I589" t="e">
        <f>SUMIF([1]Mapeamento!$J:$J,A589,[1]Mapeamento!$L:$L)</f>
        <v>#VALUE!</v>
      </c>
      <c r="J589" s="1" t="e">
        <f>SUMIF('[1]Map_Meso-Ox'!$C:$C,A589,'[1]Map_Meso-Ox'!$D:$D)</f>
        <v>#VALUE!</v>
      </c>
      <c r="K589" s="2" t="e">
        <f t="shared" si="18"/>
        <v>#VALUE!</v>
      </c>
      <c r="L589" s="1" t="e">
        <f>SUMIF('[1]Map_Meso-Ox'!$C:$C,A589,'[1]Map_Meso-Ox'!$E:$E)</f>
        <v>#VALUE!</v>
      </c>
      <c r="M589" s="2" t="e">
        <f t="shared" si="19"/>
        <v>#VALUE!</v>
      </c>
    </row>
    <row r="590" spans="1:13" x14ac:dyDescent="0.25">
      <c r="A590">
        <v>39</v>
      </c>
      <c r="B590">
        <v>3</v>
      </c>
      <c r="C590">
        <v>29.631</v>
      </c>
      <c r="D590">
        <v>3.2000000000000002E-3</v>
      </c>
      <c r="E590" t="s">
        <v>18</v>
      </c>
      <c r="F590">
        <v>1</v>
      </c>
      <c r="G590">
        <f>COUNTIF(E:E,E590)</f>
        <v>110</v>
      </c>
      <c r="H590">
        <f>COUNTIFS(E:E,E590,A:A,A590,D:D,D590)</f>
        <v>1</v>
      </c>
      <c r="I590" t="e">
        <f>SUMIF([1]Mapeamento!$J:$J,A590,[1]Mapeamento!$L:$L)</f>
        <v>#VALUE!</v>
      </c>
      <c r="J590" s="1" t="e">
        <f>SUMIF('[1]Map_Meso-Ox'!$C:$C,A590,'[1]Map_Meso-Ox'!$D:$D)</f>
        <v>#VALUE!</v>
      </c>
      <c r="K590" s="2" t="e">
        <f t="shared" si="18"/>
        <v>#VALUE!</v>
      </c>
      <c r="L590" s="1" t="e">
        <f>SUMIF('[1]Map_Meso-Ox'!$C:$C,A590,'[1]Map_Meso-Ox'!$E:$E)</f>
        <v>#VALUE!</v>
      </c>
      <c r="M590" s="2" t="e">
        <f t="shared" si="19"/>
        <v>#VALUE!</v>
      </c>
    </row>
    <row r="591" spans="1:13" x14ac:dyDescent="0.25">
      <c r="A591">
        <v>40</v>
      </c>
      <c r="B591">
        <v>3</v>
      </c>
      <c r="C591">
        <v>41.408999999999999</v>
      </c>
      <c r="D591">
        <v>0</v>
      </c>
      <c r="E591" t="s">
        <v>18</v>
      </c>
      <c r="F591">
        <v>1</v>
      </c>
      <c r="G591">
        <f>COUNTIF(E:E,E591)</f>
        <v>110</v>
      </c>
      <c r="H591">
        <f>COUNTIFS(E:E,E591,A:A,A591,D:D,D591)</f>
        <v>1</v>
      </c>
      <c r="I591" t="e">
        <f>SUMIF([1]Mapeamento!$J:$J,A591,[1]Mapeamento!$L:$L)</f>
        <v>#VALUE!</v>
      </c>
      <c r="J591" s="1" t="e">
        <f>SUMIF('[1]Map_Meso-Ox'!$C:$C,A591,'[1]Map_Meso-Ox'!$D:$D)</f>
        <v>#VALUE!</v>
      </c>
      <c r="K591" s="2" t="e">
        <f t="shared" si="18"/>
        <v>#VALUE!</v>
      </c>
      <c r="L591" s="1" t="e">
        <f>SUMIF('[1]Map_Meso-Ox'!$C:$C,A591,'[1]Map_Meso-Ox'!$E:$E)</f>
        <v>#VALUE!</v>
      </c>
      <c r="M591" s="2" t="e">
        <f t="shared" si="19"/>
        <v>#VALUE!</v>
      </c>
    </row>
    <row r="592" spans="1:13" x14ac:dyDescent="0.25">
      <c r="A592">
        <v>41</v>
      </c>
      <c r="B592">
        <v>3</v>
      </c>
      <c r="C592">
        <v>55.997999999999998</v>
      </c>
      <c r="D592">
        <v>0</v>
      </c>
      <c r="E592" t="s">
        <v>18</v>
      </c>
      <c r="F592">
        <v>1</v>
      </c>
      <c r="G592">
        <f>COUNTIF(E:E,E592)</f>
        <v>110</v>
      </c>
      <c r="H592">
        <f>COUNTIFS(E:E,E592,A:A,A592,D:D,D592)</f>
        <v>1</v>
      </c>
      <c r="I592" t="e">
        <f>SUMIF([1]Mapeamento!$J:$J,A592,[1]Mapeamento!$L:$L)</f>
        <v>#VALUE!</v>
      </c>
      <c r="J592" s="1" t="e">
        <f>SUMIF('[1]Map_Meso-Ox'!$C:$C,A592,'[1]Map_Meso-Ox'!$D:$D)</f>
        <v>#VALUE!</v>
      </c>
      <c r="K592" s="2" t="e">
        <f t="shared" si="18"/>
        <v>#VALUE!</v>
      </c>
      <c r="L592" s="1" t="e">
        <f>SUMIF('[1]Map_Meso-Ox'!$C:$C,A592,'[1]Map_Meso-Ox'!$E:$E)</f>
        <v>#VALUE!</v>
      </c>
      <c r="M592" s="2" t="e">
        <f t="shared" si="19"/>
        <v>#VALUE!</v>
      </c>
    </row>
    <row r="593" spans="1:13" x14ac:dyDescent="0.25">
      <c r="A593">
        <v>42</v>
      </c>
      <c r="B593">
        <v>3</v>
      </c>
      <c r="C593">
        <v>17.209</v>
      </c>
      <c r="D593">
        <v>0.1419</v>
      </c>
      <c r="E593" t="s">
        <v>18</v>
      </c>
      <c r="F593">
        <v>0</v>
      </c>
      <c r="G593">
        <f>COUNTIF(E:E,E593)</f>
        <v>110</v>
      </c>
      <c r="H593">
        <f>COUNTIFS(E:E,E593,A:A,A593,D:D,D593)</f>
        <v>1</v>
      </c>
      <c r="I593" t="e">
        <f>SUMIF([1]Mapeamento!$J:$J,A593,[1]Mapeamento!$L:$L)</f>
        <v>#VALUE!</v>
      </c>
      <c r="J593" s="1" t="e">
        <f>SUMIF('[1]Map_Meso-Ox'!$C:$C,A593,'[1]Map_Meso-Ox'!$D:$D)</f>
        <v>#VALUE!</v>
      </c>
      <c r="K593" s="2" t="e">
        <f t="shared" si="18"/>
        <v>#VALUE!</v>
      </c>
      <c r="L593" s="1" t="e">
        <f>SUMIF('[1]Map_Meso-Ox'!$C:$C,A593,'[1]Map_Meso-Ox'!$E:$E)</f>
        <v>#VALUE!</v>
      </c>
      <c r="M593" s="2" t="e">
        <f t="shared" si="19"/>
        <v>#VALUE!</v>
      </c>
    </row>
    <row r="594" spans="1:13" x14ac:dyDescent="0.25">
      <c r="A594">
        <v>43</v>
      </c>
      <c r="B594">
        <v>3</v>
      </c>
      <c r="C594">
        <v>17.696000000000002</v>
      </c>
      <c r="D594">
        <v>0.12520000000000001</v>
      </c>
      <c r="E594" t="s">
        <v>18</v>
      </c>
      <c r="F594">
        <v>0</v>
      </c>
      <c r="G594">
        <f>COUNTIF(E:E,E594)</f>
        <v>110</v>
      </c>
      <c r="H594">
        <f>COUNTIFS(E:E,E594,A:A,A594,D:D,D594)</f>
        <v>1</v>
      </c>
      <c r="I594" t="e">
        <f>SUMIF([1]Mapeamento!$J:$J,A594,[1]Mapeamento!$L:$L)</f>
        <v>#VALUE!</v>
      </c>
      <c r="J594" s="1" t="e">
        <f>SUMIF('[1]Map_Meso-Ox'!$C:$C,A594,'[1]Map_Meso-Ox'!$D:$D)</f>
        <v>#VALUE!</v>
      </c>
      <c r="K594" s="2" t="e">
        <f t="shared" si="18"/>
        <v>#VALUE!</v>
      </c>
      <c r="L594" s="1" t="e">
        <f>SUMIF('[1]Map_Meso-Ox'!$C:$C,A594,'[1]Map_Meso-Ox'!$E:$E)</f>
        <v>#VALUE!</v>
      </c>
      <c r="M594" s="2" t="e">
        <f t="shared" si="19"/>
        <v>#VALUE!</v>
      </c>
    </row>
    <row r="595" spans="1:13" x14ac:dyDescent="0.25">
      <c r="A595">
        <v>44</v>
      </c>
      <c r="B595">
        <v>3</v>
      </c>
      <c r="C595">
        <v>25.253</v>
      </c>
      <c r="D595">
        <v>1.37E-2</v>
      </c>
      <c r="E595" t="s">
        <v>18</v>
      </c>
      <c r="F595">
        <v>0</v>
      </c>
      <c r="G595">
        <f>COUNTIF(E:E,E595)</f>
        <v>110</v>
      </c>
      <c r="H595">
        <f>COUNTIFS(E:E,E595,A:A,A595,D:D,D595)</f>
        <v>1</v>
      </c>
      <c r="I595" t="e">
        <f>SUMIF([1]Mapeamento!$J:$J,A595,[1]Mapeamento!$L:$L)</f>
        <v>#VALUE!</v>
      </c>
      <c r="J595" s="1" t="e">
        <f>SUMIF('[1]Map_Meso-Ox'!$C:$C,A595,'[1]Map_Meso-Ox'!$D:$D)</f>
        <v>#VALUE!</v>
      </c>
      <c r="K595" s="2" t="e">
        <f t="shared" si="18"/>
        <v>#VALUE!</v>
      </c>
      <c r="L595" s="1" t="e">
        <f>SUMIF('[1]Map_Meso-Ox'!$C:$C,A595,'[1]Map_Meso-Ox'!$E:$E)</f>
        <v>#VALUE!</v>
      </c>
      <c r="M595" s="2" t="e">
        <f t="shared" si="19"/>
        <v>#VALUE!</v>
      </c>
    </row>
    <row r="596" spans="1:13" x14ac:dyDescent="0.25">
      <c r="A596">
        <v>45</v>
      </c>
      <c r="B596">
        <v>3</v>
      </c>
      <c r="C596">
        <v>52.134999999999998</v>
      </c>
      <c r="D596">
        <v>0</v>
      </c>
      <c r="E596" t="s">
        <v>18</v>
      </c>
      <c r="F596">
        <v>2</v>
      </c>
      <c r="G596">
        <f>COUNTIF(E:E,E596)</f>
        <v>110</v>
      </c>
      <c r="H596">
        <f>COUNTIFS(E:E,E596,A:A,A596,D:D,D596)</f>
        <v>1</v>
      </c>
      <c r="I596" t="e">
        <f>SUMIF([1]Mapeamento!$J:$J,A596,[1]Mapeamento!$L:$L)</f>
        <v>#VALUE!</v>
      </c>
      <c r="J596" s="1" t="e">
        <f>SUMIF('[1]Map_Meso-Ox'!$C:$C,A596,'[1]Map_Meso-Ox'!$D:$D)</f>
        <v>#VALUE!</v>
      </c>
      <c r="K596" s="2" t="e">
        <f t="shared" si="18"/>
        <v>#VALUE!</v>
      </c>
      <c r="L596" s="1" t="e">
        <f>SUMIF('[1]Map_Meso-Ox'!$C:$C,A596,'[1]Map_Meso-Ox'!$E:$E)</f>
        <v>#VALUE!</v>
      </c>
      <c r="M596" s="2" t="e">
        <f t="shared" si="19"/>
        <v>#VALUE!</v>
      </c>
    </row>
    <row r="597" spans="1:13" x14ac:dyDescent="0.25">
      <c r="A597">
        <v>46</v>
      </c>
      <c r="B597">
        <v>3</v>
      </c>
      <c r="C597">
        <v>49.744999999999997</v>
      </c>
      <c r="D597">
        <v>0</v>
      </c>
      <c r="E597" t="s">
        <v>18</v>
      </c>
      <c r="F597">
        <v>0</v>
      </c>
      <c r="G597">
        <f>COUNTIF(E:E,E597)</f>
        <v>110</v>
      </c>
      <c r="H597">
        <f>COUNTIFS(E:E,E597,A:A,A597,D:D,D597)</f>
        <v>1</v>
      </c>
      <c r="I597" t="e">
        <f>SUMIF([1]Mapeamento!$J:$J,A597,[1]Mapeamento!$L:$L)</f>
        <v>#VALUE!</v>
      </c>
      <c r="J597" s="1" t="e">
        <f>SUMIF('[1]Map_Meso-Ox'!$C:$C,A597,'[1]Map_Meso-Ox'!$D:$D)</f>
        <v>#VALUE!</v>
      </c>
      <c r="K597" s="2" t="e">
        <f t="shared" si="18"/>
        <v>#VALUE!</v>
      </c>
      <c r="L597" s="1" t="e">
        <f>SUMIF('[1]Map_Meso-Ox'!$C:$C,A597,'[1]Map_Meso-Ox'!$E:$E)</f>
        <v>#VALUE!</v>
      </c>
      <c r="M597" s="2" t="e">
        <f t="shared" si="19"/>
        <v>#VALUE!</v>
      </c>
    </row>
    <row r="598" spans="1:13" x14ac:dyDescent="0.25">
      <c r="A598">
        <v>47</v>
      </c>
      <c r="B598">
        <v>3</v>
      </c>
      <c r="C598">
        <v>35.646999999999998</v>
      </c>
      <c r="D598">
        <v>4.0000000000000002E-4</v>
      </c>
      <c r="E598" t="s">
        <v>18</v>
      </c>
      <c r="F598">
        <v>0</v>
      </c>
      <c r="G598">
        <f>COUNTIF(E:E,E598)</f>
        <v>110</v>
      </c>
      <c r="H598">
        <f>COUNTIFS(E:E,E598,A:A,A598,D:D,D598)</f>
        <v>1</v>
      </c>
      <c r="I598" t="e">
        <f>SUMIF([1]Mapeamento!$J:$J,A598,[1]Mapeamento!$L:$L)</f>
        <v>#VALUE!</v>
      </c>
      <c r="J598" s="1" t="e">
        <f>SUMIF('[1]Map_Meso-Ox'!$C:$C,A598,'[1]Map_Meso-Ox'!$D:$D)</f>
        <v>#VALUE!</v>
      </c>
      <c r="K598" s="2" t="e">
        <f t="shared" si="18"/>
        <v>#VALUE!</v>
      </c>
      <c r="L598" s="1" t="e">
        <f>SUMIF('[1]Map_Meso-Ox'!$C:$C,A598,'[1]Map_Meso-Ox'!$E:$E)</f>
        <v>#VALUE!</v>
      </c>
      <c r="M598" s="2" t="e">
        <f t="shared" si="19"/>
        <v>#VALUE!</v>
      </c>
    </row>
    <row r="599" spans="1:13" x14ac:dyDescent="0.25">
      <c r="A599">
        <v>48</v>
      </c>
      <c r="B599">
        <v>3</v>
      </c>
      <c r="C599">
        <v>28.648</v>
      </c>
      <c r="D599">
        <v>4.4000000000000003E-3</v>
      </c>
      <c r="E599" t="s">
        <v>18</v>
      </c>
      <c r="F599">
        <v>0</v>
      </c>
      <c r="G599">
        <f>COUNTIF(E:E,E599)</f>
        <v>110</v>
      </c>
      <c r="H599">
        <f>COUNTIFS(E:E,E599,A:A,A599,D:D,D599)</f>
        <v>1</v>
      </c>
      <c r="I599" t="e">
        <f>SUMIF([1]Mapeamento!$J:$J,A599,[1]Mapeamento!$L:$L)</f>
        <v>#VALUE!</v>
      </c>
      <c r="J599" s="1" t="e">
        <f>SUMIF('[1]Map_Meso-Ox'!$C:$C,A599,'[1]Map_Meso-Ox'!$D:$D)</f>
        <v>#VALUE!</v>
      </c>
      <c r="K599" s="2" t="e">
        <f t="shared" si="18"/>
        <v>#VALUE!</v>
      </c>
      <c r="L599" s="1" t="e">
        <f>SUMIF('[1]Map_Meso-Ox'!$C:$C,A599,'[1]Map_Meso-Ox'!$E:$E)</f>
        <v>#VALUE!</v>
      </c>
      <c r="M599" s="2" t="e">
        <f t="shared" si="19"/>
        <v>#VALUE!</v>
      </c>
    </row>
    <row r="600" spans="1:13" x14ac:dyDescent="0.25">
      <c r="A600">
        <v>49</v>
      </c>
      <c r="B600">
        <v>3</v>
      </c>
      <c r="C600">
        <v>24.225000000000001</v>
      </c>
      <c r="D600">
        <v>1.9E-2</v>
      </c>
      <c r="E600" t="s">
        <v>18</v>
      </c>
      <c r="F600">
        <v>0</v>
      </c>
      <c r="G600">
        <f>COUNTIF(E:E,E600)</f>
        <v>110</v>
      </c>
      <c r="H600">
        <f>COUNTIFS(E:E,E600,A:A,A600,D:D,D600)</f>
        <v>1</v>
      </c>
      <c r="I600" t="e">
        <f>SUMIF([1]Mapeamento!$J:$J,A600,[1]Mapeamento!$L:$L)</f>
        <v>#VALUE!</v>
      </c>
      <c r="J600" s="1" t="e">
        <f>SUMIF('[1]Map_Meso-Ox'!$C:$C,A600,'[1]Map_Meso-Ox'!$D:$D)</f>
        <v>#VALUE!</v>
      </c>
      <c r="K600" s="2" t="e">
        <f t="shared" si="18"/>
        <v>#VALUE!</v>
      </c>
      <c r="L600" s="1" t="e">
        <f>SUMIF('[1]Map_Meso-Ox'!$C:$C,A600,'[1]Map_Meso-Ox'!$E:$E)</f>
        <v>#VALUE!</v>
      </c>
      <c r="M600" s="2" t="e">
        <f t="shared" si="19"/>
        <v>#VALUE!</v>
      </c>
    </row>
    <row r="601" spans="1:13" x14ac:dyDescent="0.25">
      <c r="A601">
        <v>50</v>
      </c>
      <c r="B601">
        <v>3</v>
      </c>
      <c r="C601">
        <v>28.95</v>
      </c>
      <c r="D601">
        <v>4.0000000000000001E-3</v>
      </c>
      <c r="E601" t="s">
        <v>18</v>
      </c>
      <c r="F601">
        <v>0</v>
      </c>
      <c r="G601">
        <f>COUNTIF(E:E,E601)</f>
        <v>110</v>
      </c>
      <c r="H601">
        <f>COUNTIFS(E:E,E601,A:A,A601,D:D,D601)</f>
        <v>1</v>
      </c>
      <c r="I601" t="e">
        <f>SUMIF([1]Mapeamento!$J:$J,A601,[1]Mapeamento!$L:$L)</f>
        <v>#VALUE!</v>
      </c>
      <c r="J601" s="1" t="e">
        <f>SUMIF('[1]Map_Meso-Ox'!$C:$C,A601,'[1]Map_Meso-Ox'!$D:$D)</f>
        <v>#VALUE!</v>
      </c>
      <c r="K601" s="2" t="e">
        <f t="shared" si="18"/>
        <v>#VALUE!</v>
      </c>
      <c r="L601" s="1" t="e">
        <f>SUMIF('[1]Map_Meso-Ox'!$C:$C,A601,'[1]Map_Meso-Ox'!$E:$E)</f>
        <v>#VALUE!</v>
      </c>
      <c r="M601" s="2" t="e">
        <f t="shared" si="19"/>
        <v>#VALUE!</v>
      </c>
    </row>
    <row r="602" spans="1:13" x14ac:dyDescent="0.25">
      <c r="A602">
        <v>51</v>
      </c>
      <c r="B602">
        <v>3</v>
      </c>
      <c r="C602">
        <v>31.434000000000001</v>
      </c>
      <c r="D602">
        <v>1.6999999999999999E-3</v>
      </c>
      <c r="E602" t="s">
        <v>18</v>
      </c>
      <c r="F602">
        <v>0</v>
      </c>
      <c r="G602">
        <f>COUNTIF(E:E,E602)</f>
        <v>110</v>
      </c>
      <c r="H602">
        <f>COUNTIFS(E:E,E602,A:A,A602,D:D,D602)</f>
        <v>1</v>
      </c>
      <c r="I602" t="e">
        <f>SUMIF([1]Mapeamento!$J:$J,A602,[1]Mapeamento!$L:$L)</f>
        <v>#VALUE!</v>
      </c>
      <c r="J602" s="1" t="e">
        <f>SUMIF('[1]Map_Meso-Ox'!$C:$C,A602,'[1]Map_Meso-Ox'!$D:$D)</f>
        <v>#VALUE!</v>
      </c>
      <c r="K602" s="2" t="e">
        <f t="shared" si="18"/>
        <v>#VALUE!</v>
      </c>
      <c r="L602" s="1" t="e">
        <f>SUMIF('[1]Map_Meso-Ox'!$C:$C,A602,'[1]Map_Meso-Ox'!$E:$E)</f>
        <v>#VALUE!</v>
      </c>
      <c r="M602" s="2" t="e">
        <f t="shared" si="19"/>
        <v>#VALUE!</v>
      </c>
    </row>
    <row r="603" spans="1:13" x14ac:dyDescent="0.25">
      <c r="A603">
        <v>52</v>
      </c>
      <c r="B603">
        <v>3</v>
      </c>
      <c r="C603">
        <v>31.518000000000001</v>
      </c>
      <c r="D603">
        <v>1.6000000000000001E-3</v>
      </c>
      <c r="E603" t="s">
        <v>18</v>
      </c>
      <c r="F603">
        <v>1</v>
      </c>
      <c r="G603">
        <f>COUNTIF(E:E,E603)</f>
        <v>110</v>
      </c>
      <c r="H603">
        <f>COUNTIFS(E:E,E603,A:A,A603,D:D,D603)</f>
        <v>1</v>
      </c>
      <c r="I603" t="e">
        <f>SUMIF([1]Mapeamento!$J:$J,A603,[1]Mapeamento!$L:$L)</f>
        <v>#VALUE!</v>
      </c>
      <c r="J603" s="1" t="e">
        <f>SUMIF('[1]Map_Meso-Ox'!$C:$C,A603,'[1]Map_Meso-Ox'!$D:$D)</f>
        <v>#VALUE!</v>
      </c>
      <c r="K603" s="2" t="e">
        <f t="shared" si="18"/>
        <v>#VALUE!</v>
      </c>
      <c r="L603" s="1" t="e">
        <f>SUMIF('[1]Map_Meso-Ox'!$C:$C,A603,'[1]Map_Meso-Ox'!$E:$E)</f>
        <v>#VALUE!</v>
      </c>
      <c r="M603" s="2" t="e">
        <f t="shared" si="19"/>
        <v>#VALUE!</v>
      </c>
    </row>
    <row r="604" spans="1:13" x14ac:dyDescent="0.25">
      <c r="A604">
        <v>53</v>
      </c>
      <c r="B604">
        <v>3</v>
      </c>
      <c r="C604">
        <v>53.283999999999999</v>
      </c>
      <c r="D604">
        <v>0</v>
      </c>
      <c r="E604" t="s">
        <v>18</v>
      </c>
      <c r="F604">
        <v>3</v>
      </c>
      <c r="G604">
        <f>COUNTIF(E:E,E604)</f>
        <v>110</v>
      </c>
      <c r="H604">
        <f>COUNTIFS(E:E,E604,A:A,A604,D:D,D604)</f>
        <v>1</v>
      </c>
      <c r="I604" t="e">
        <f>SUMIF([1]Mapeamento!$J:$J,A604,[1]Mapeamento!$L:$L)</f>
        <v>#VALUE!</v>
      </c>
      <c r="J604" s="1" t="e">
        <f>SUMIF('[1]Map_Meso-Ox'!$C:$C,A604,'[1]Map_Meso-Ox'!$D:$D)</f>
        <v>#VALUE!</v>
      </c>
      <c r="K604" s="2" t="e">
        <f t="shared" si="18"/>
        <v>#VALUE!</v>
      </c>
      <c r="L604" s="1" t="e">
        <f>SUMIF('[1]Map_Meso-Ox'!$C:$C,A604,'[1]Map_Meso-Ox'!$E:$E)</f>
        <v>#VALUE!</v>
      </c>
      <c r="M604" s="2" t="e">
        <f t="shared" si="19"/>
        <v>#VALUE!</v>
      </c>
    </row>
    <row r="605" spans="1:13" x14ac:dyDescent="0.25">
      <c r="A605">
        <v>54</v>
      </c>
      <c r="B605">
        <v>3</v>
      </c>
      <c r="C605">
        <v>35.927</v>
      </c>
      <c r="D605">
        <v>2.9999999999999997E-4</v>
      </c>
      <c r="E605" t="s">
        <v>18</v>
      </c>
      <c r="F605">
        <v>1</v>
      </c>
      <c r="G605">
        <f>COUNTIF(E:E,E605)</f>
        <v>110</v>
      </c>
      <c r="H605">
        <f>COUNTIFS(E:E,E605,A:A,A605,D:D,D605)</f>
        <v>1</v>
      </c>
      <c r="I605" t="e">
        <f>SUMIF([1]Mapeamento!$J:$J,A605,[1]Mapeamento!$L:$L)</f>
        <v>#VALUE!</v>
      </c>
      <c r="J605" s="1" t="e">
        <f>SUMIF('[1]Map_Meso-Ox'!$C:$C,A605,'[1]Map_Meso-Ox'!$D:$D)</f>
        <v>#VALUE!</v>
      </c>
      <c r="K605" s="2" t="e">
        <f t="shared" si="18"/>
        <v>#VALUE!</v>
      </c>
      <c r="L605" s="1" t="e">
        <f>SUMIF('[1]Map_Meso-Ox'!$C:$C,A605,'[1]Map_Meso-Ox'!$E:$E)</f>
        <v>#VALUE!</v>
      </c>
      <c r="M605" s="2" t="e">
        <f t="shared" si="19"/>
        <v>#VALUE!</v>
      </c>
    </row>
    <row r="606" spans="1:13" x14ac:dyDescent="0.25">
      <c r="A606">
        <v>55</v>
      </c>
      <c r="B606">
        <v>3</v>
      </c>
      <c r="C606">
        <v>27.792000000000002</v>
      </c>
      <c r="D606">
        <v>5.8999999999999999E-3</v>
      </c>
      <c r="E606" t="s">
        <v>18</v>
      </c>
      <c r="F606">
        <v>1</v>
      </c>
      <c r="G606">
        <f>COUNTIF(E:E,E606)</f>
        <v>110</v>
      </c>
      <c r="H606">
        <f>COUNTIFS(E:E,E606,A:A,A606,D:D,D606)</f>
        <v>1</v>
      </c>
      <c r="I606" t="e">
        <f>SUMIF([1]Mapeamento!$J:$J,A606,[1]Mapeamento!$L:$L)</f>
        <v>#VALUE!</v>
      </c>
      <c r="J606" s="1" t="e">
        <f>SUMIF('[1]Map_Meso-Ox'!$C:$C,A606,'[1]Map_Meso-Ox'!$D:$D)</f>
        <v>#VALUE!</v>
      </c>
      <c r="K606" s="2" t="e">
        <f t="shared" si="18"/>
        <v>#VALUE!</v>
      </c>
      <c r="L606" s="1" t="e">
        <f>SUMIF('[1]Map_Meso-Ox'!$C:$C,A606,'[1]Map_Meso-Ox'!$E:$E)</f>
        <v>#VALUE!</v>
      </c>
      <c r="M606" s="2" t="e">
        <f t="shared" si="19"/>
        <v>#VALUE!</v>
      </c>
    </row>
    <row r="607" spans="1:13" x14ac:dyDescent="0.25">
      <c r="A607">
        <v>56</v>
      </c>
      <c r="B607">
        <v>3</v>
      </c>
      <c r="C607">
        <v>42.04</v>
      </c>
      <c r="D607">
        <v>0</v>
      </c>
      <c r="E607" t="s">
        <v>18</v>
      </c>
      <c r="F607">
        <v>1</v>
      </c>
      <c r="G607">
        <f>COUNTIF(E:E,E607)</f>
        <v>110</v>
      </c>
      <c r="H607">
        <f>COUNTIFS(E:E,E607,A:A,A607,D:D,D607)</f>
        <v>1</v>
      </c>
      <c r="I607" t="e">
        <f>SUMIF([1]Mapeamento!$J:$J,A607,[1]Mapeamento!$L:$L)</f>
        <v>#VALUE!</v>
      </c>
      <c r="J607" s="1" t="e">
        <f>SUMIF('[1]Map_Meso-Ox'!$C:$C,A607,'[1]Map_Meso-Ox'!$D:$D)</f>
        <v>#VALUE!</v>
      </c>
      <c r="K607" s="2" t="e">
        <f t="shared" si="18"/>
        <v>#VALUE!</v>
      </c>
      <c r="L607" s="1" t="e">
        <f>SUMIF('[1]Map_Meso-Ox'!$C:$C,A607,'[1]Map_Meso-Ox'!$E:$E)</f>
        <v>#VALUE!</v>
      </c>
      <c r="M607" s="2" t="e">
        <f t="shared" si="19"/>
        <v>#VALUE!</v>
      </c>
    </row>
    <row r="608" spans="1:13" x14ac:dyDescent="0.25">
      <c r="A608">
        <v>57</v>
      </c>
      <c r="B608">
        <v>3</v>
      </c>
      <c r="C608">
        <v>34.966000000000001</v>
      </c>
      <c r="D608">
        <v>5.0000000000000001E-4</v>
      </c>
      <c r="E608" t="s">
        <v>18</v>
      </c>
      <c r="F608">
        <v>0</v>
      </c>
      <c r="G608">
        <f>COUNTIF(E:E,E608)</f>
        <v>110</v>
      </c>
      <c r="H608">
        <f>COUNTIFS(E:E,E608,A:A,A608,D:D,D608)</f>
        <v>1</v>
      </c>
      <c r="I608" t="e">
        <f>SUMIF([1]Mapeamento!$J:$J,A608,[1]Mapeamento!$L:$L)</f>
        <v>#VALUE!</v>
      </c>
      <c r="J608" s="1" t="e">
        <f>SUMIF('[1]Map_Meso-Ox'!$C:$C,A608,'[1]Map_Meso-Ox'!$D:$D)</f>
        <v>#VALUE!</v>
      </c>
      <c r="K608" s="2" t="e">
        <f t="shared" si="18"/>
        <v>#VALUE!</v>
      </c>
      <c r="L608" s="1" t="e">
        <f>SUMIF('[1]Map_Meso-Ox'!$C:$C,A608,'[1]Map_Meso-Ox'!$E:$E)</f>
        <v>#VALUE!</v>
      </c>
      <c r="M608" s="2" t="e">
        <f t="shared" si="19"/>
        <v>#VALUE!</v>
      </c>
    </row>
    <row r="609" spans="1:13" x14ac:dyDescent="0.25">
      <c r="A609">
        <v>58</v>
      </c>
      <c r="B609">
        <v>3</v>
      </c>
      <c r="C609">
        <v>28.943000000000001</v>
      </c>
      <c r="D609">
        <v>4.0000000000000001E-3</v>
      </c>
      <c r="E609" t="s">
        <v>18</v>
      </c>
      <c r="F609">
        <v>1</v>
      </c>
      <c r="G609">
        <f>COUNTIF(E:E,E609)</f>
        <v>110</v>
      </c>
      <c r="H609">
        <f>COUNTIFS(E:E,E609,A:A,A609,D:D,D609)</f>
        <v>1</v>
      </c>
      <c r="I609" t="e">
        <f>SUMIF([1]Mapeamento!$J:$J,A609,[1]Mapeamento!$L:$L)</f>
        <v>#VALUE!</v>
      </c>
      <c r="J609" s="1" t="e">
        <f>SUMIF('[1]Map_Meso-Ox'!$C:$C,A609,'[1]Map_Meso-Ox'!$D:$D)</f>
        <v>#VALUE!</v>
      </c>
      <c r="K609" s="2" t="e">
        <f t="shared" si="18"/>
        <v>#VALUE!</v>
      </c>
      <c r="L609" s="1" t="e">
        <f>SUMIF('[1]Map_Meso-Ox'!$C:$C,A609,'[1]Map_Meso-Ox'!$E:$E)</f>
        <v>#VALUE!</v>
      </c>
      <c r="M609" s="2" t="e">
        <f t="shared" si="19"/>
        <v>#VALUE!</v>
      </c>
    </row>
    <row r="610" spans="1:13" x14ac:dyDescent="0.25">
      <c r="A610">
        <v>59</v>
      </c>
      <c r="B610">
        <v>3</v>
      </c>
      <c r="C610">
        <v>37.508000000000003</v>
      </c>
      <c r="D610">
        <v>2.0000000000000001E-4</v>
      </c>
      <c r="E610" t="s">
        <v>18</v>
      </c>
      <c r="F610">
        <v>1</v>
      </c>
      <c r="G610">
        <f>COUNTIF(E:E,E610)</f>
        <v>110</v>
      </c>
      <c r="H610">
        <f>COUNTIFS(E:E,E610,A:A,A610,D:D,D610)</f>
        <v>1</v>
      </c>
      <c r="I610" t="e">
        <f>SUMIF([1]Mapeamento!$J:$J,A610,[1]Mapeamento!$L:$L)</f>
        <v>#VALUE!</v>
      </c>
      <c r="J610" s="1" t="e">
        <f>SUMIF('[1]Map_Meso-Ox'!$C:$C,A610,'[1]Map_Meso-Ox'!$D:$D)</f>
        <v>#VALUE!</v>
      </c>
      <c r="K610" s="2" t="e">
        <f t="shared" si="18"/>
        <v>#VALUE!</v>
      </c>
      <c r="L610" s="1" t="e">
        <f>SUMIF('[1]Map_Meso-Ox'!$C:$C,A610,'[1]Map_Meso-Ox'!$E:$E)</f>
        <v>#VALUE!</v>
      </c>
      <c r="M610" s="2" t="e">
        <f t="shared" si="19"/>
        <v>#VALUE!</v>
      </c>
    </row>
    <row r="611" spans="1:13" x14ac:dyDescent="0.25">
      <c r="A611">
        <v>60</v>
      </c>
      <c r="B611">
        <v>3</v>
      </c>
      <c r="C611">
        <v>24.376999999999999</v>
      </c>
      <c r="D611">
        <v>1.8100000000000002E-2</v>
      </c>
      <c r="E611" t="s">
        <v>18</v>
      </c>
      <c r="F611">
        <v>1</v>
      </c>
      <c r="G611">
        <f>COUNTIF(E:E,E611)</f>
        <v>110</v>
      </c>
      <c r="H611">
        <f>COUNTIFS(E:E,E611,A:A,A611,D:D,D611)</f>
        <v>1</v>
      </c>
      <c r="I611" t="e">
        <f>SUMIF([1]Mapeamento!$J:$J,A611,[1]Mapeamento!$L:$L)</f>
        <v>#VALUE!</v>
      </c>
      <c r="J611" s="1" t="e">
        <f>SUMIF('[1]Map_Meso-Ox'!$C:$C,A611,'[1]Map_Meso-Ox'!$D:$D)</f>
        <v>#VALUE!</v>
      </c>
      <c r="K611" s="2" t="e">
        <f t="shared" si="18"/>
        <v>#VALUE!</v>
      </c>
      <c r="L611" s="1" t="e">
        <f>SUMIF('[1]Map_Meso-Ox'!$C:$C,A611,'[1]Map_Meso-Ox'!$E:$E)</f>
        <v>#VALUE!</v>
      </c>
      <c r="M611" s="2" t="e">
        <f t="shared" si="19"/>
        <v>#VALUE!</v>
      </c>
    </row>
    <row r="612" spans="1:13" x14ac:dyDescent="0.25">
      <c r="A612">
        <v>61</v>
      </c>
      <c r="B612">
        <v>3</v>
      </c>
      <c r="C612">
        <v>39.436</v>
      </c>
      <c r="D612">
        <v>1E-4</v>
      </c>
      <c r="E612" t="s">
        <v>18</v>
      </c>
      <c r="F612">
        <v>0</v>
      </c>
      <c r="G612">
        <f>COUNTIF(E:E,E612)</f>
        <v>110</v>
      </c>
      <c r="H612">
        <f>COUNTIFS(E:E,E612,A:A,A612,D:D,D612)</f>
        <v>1</v>
      </c>
      <c r="I612" t="e">
        <f>SUMIF([1]Mapeamento!$J:$J,A612,[1]Mapeamento!$L:$L)</f>
        <v>#VALUE!</v>
      </c>
      <c r="J612" s="1" t="e">
        <f>SUMIF('[1]Map_Meso-Ox'!$C:$C,A612,'[1]Map_Meso-Ox'!$D:$D)</f>
        <v>#VALUE!</v>
      </c>
      <c r="K612" s="2" t="e">
        <f t="shared" si="18"/>
        <v>#VALUE!</v>
      </c>
      <c r="L612" s="1" t="e">
        <f>SUMIF('[1]Map_Meso-Ox'!$C:$C,A612,'[1]Map_Meso-Ox'!$E:$E)</f>
        <v>#VALUE!</v>
      </c>
      <c r="M612" s="2" t="e">
        <f t="shared" si="19"/>
        <v>#VALUE!</v>
      </c>
    </row>
    <row r="613" spans="1:13" x14ac:dyDescent="0.25">
      <c r="A613">
        <v>62</v>
      </c>
      <c r="B613">
        <v>3</v>
      </c>
      <c r="C613">
        <v>57.945</v>
      </c>
      <c r="D613">
        <v>0</v>
      </c>
      <c r="E613" t="s">
        <v>18</v>
      </c>
      <c r="F613">
        <v>1</v>
      </c>
      <c r="G613">
        <f>COUNTIF(E:E,E613)</f>
        <v>110</v>
      </c>
      <c r="H613">
        <f>COUNTIFS(E:E,E613,A:A,A613,D:D,D613)</f>
        <v>1</v>
      </c>
      <c r="I613" t="e">
        <f>SUMIF([1]Mapeamento!$J:$J,A613,[1]Mapeamento!$L:$L)</f>
        <v>#VALUE!</v>
      </c>
      <c r="J613" s="1" t="e">
        <f>SUMIF('[1]Map_Meso-Ox'!$C:$C,A613,'[1]Map_Meso-Ox'!$D:$D)</f>
        <v>#VALUE!</v>
      </c>
      <c r="K613" s="2" t="e">
        <f t="shared" si="18"/>
        <v>#VALUE!</v>
      </c>
      <c r="L613" s="1" t="e">
        <f>SUMIF('[1]Map_Meso-Ox'!$C:$C,A613,'[1]Map_Meso-Ox'!$E:$E)</f>
        <v>#VALUE!</v>
      </c>
      <c r="M613" s="2" t="e">
        <f t="shared" si="19"/>
        <v>#VALUE!</v>
      </c>
    </row>
    <row r="614" spans="1:13" x14ac:dyDescent="0.25">
      <c r="A614">
        <v>63</v>
      </c>
      <c r="B614">
        <v>3</v>
      </c>
      <c r="C614">
        <v>32.688000000000002</v>
      </c>
      <c r="D614">
        <v>1.1000000000000001E-3</v>
      </c>
      <c r="E614" t="s">
        <v>18</v>
      </c>
      <c r="F614">
        <v>1</v>
      </c>
      <c r="G614">
        <f>COUNTIF(E:E,E614)</f>
        <v>110</v>
      </c>
      <c r="H614">
        <f>COUNTIFS(E:E,E614,A:A,A614,D:D,D614)</f>
        <v>1</v>
      </c>
      <c r="I614" t="e">
        <f>SUMIF([1]Mapeamento!$J:$J,A614,[1]Mapeamento!$L:$L)</f>
        <v>#VALUE!</v>
      </c>
      <c r="J614" s="1" t="e">
        <f>SUMIF('[1]Map_Meso-Ox'!$C:$C,A614,'[1]Map_Meso-Ox'!$D:$D)</f>
        <v>#VALUE!</v>
      </c>
      <c r="K614" s="2" t="e">
        <f t="shared" si="18"/>
        <v>#VALUE!</v>
      </c>
      <c r="L614" s="1" t="e">
        <f>SUMIF('[1]Map_Meso-Ox'!$C:$C,A614,'[1]Map_Meso-Ox'!$E:$E)</f>
        <v>#VALUE!</v>
      </c>
      <c r="M614" s="2" t="e">
        <f t="shared" si="19"/>
        <v>#VALUE!</v>
      </c>
    </row>
    <row r="615" spans="1:13" x14ac:dyDescent="0.25">
      <c r="A615">
        <v>64</v>
      </c>
      <c r="B615">
        <v>3</v>
      </c>
      <c r="C615">
        <v>30.271000000000001</v>
      </c>
      <c r="D615">
        <v>2.5000000000000001E-3</v>
      </c>
      <c r="E615" t="s">
        <v>18</v>
      </c>
      <c r="F615">
        <v>0</v>
      </c>
      <c r="G615">
        <f>COUNTIF(E:E,E615)</f>
        <v>110</v>
      </c>
      <c r="H615">
        <f>COUNTIFS(E:E,E615,A:A,A615,D:D,D615)</f>
        <v>1</v>
      </c>
      <c r="I615" t="e">
        <f>SUMIF([1]Mapeamento!$J:$J,A615,[1]Mapeamento!$L:$L)</f>
        <v>#VALUE!</v>
      </c>
      <c r="J615" s="1" t="e">
        <f>SUMIF('[1]Map_Meso-Ox'!$C:$C,A615,'[1]Map_Meso-Ox'!$D:$D)</f>
        <v>#VALUE!</v>
      </c>
      <c r="K615" s="2" t="e">
        <f t="shared" si="18"/>
        <v>#VALUE!</v>
      </c>
      <c r="L615" s="1" t="e">
        <f>SUMIF('[1]Map_Meso-Ox'!$C:$C,A615,'[1]Map_Meso-Ox'!$E:$E)</f>
        <v>#VALUE!</v>
      </c>
      <c r="M615" s="2" t="e">
        <f t="shared" si="19"/>
        <v>#VALUE!</v>
      </c>
    </row>
    <row r="616" spans="1:13" x14ac:dyDescent="0.25">
      <c r="A616">
        <v>65</v>
      </c>
      <c r="B616">
        <v>3</v>
      </c>
      <c r="C616">
        <v>43.884999999999998</v>
      </c>
      <c r="D616">
        <v>0</v>
      </c>
      <c r="E616" t="s">
        <v>18</v>
      </c>
      <c r="F616">
        <v>2</v>
      </c>
      <c r="G616">
        <f>COUNTIF(E:E,E616)</f>
        <v>110</v>
      </c>
      <c r="H616">
        <f>COUNTIFS(E:E,E616,A:A,A616,D:D,D616)</f>
        <v>1</v>
      </c>
      <c r="I616" t="e">
        <f>SUMIF([1]Mapeamento!$J:$J,A616,[1]Mapeamento!$L:$L)</f>
        <v>#VALUE!</v>
      </c>
      <c r="J616" s="1" t="e">
        <f>SUMIF('[1]Map_Meso-Ox'!$C:$C,A616,'[1]Map_Meso-Ox'!$D:$D)</f>
        <v>#VALUE!</v>
      </c>
      <c r="K616" s="2" t="e">
        <f t="shared" ref="K616:K679" si="20">J616/203401269</f>
        <v>#VALUE!</v>
      </c>
      <c r="L616" s="1" t="e">
        <f>SUMIF('[1]Map_Meso-Ox'!$C:$C,A616,'[1]Map_Meso-Ox'!$E:$E)</f>
        <v>#VALUE!</v>
      </c>
      <c r="M616" s="2" t="e">
        <f t="shared" ref="M616:M679" si="21">L616/3868725997.715</f>
        <v>#VALUE!</v>
      </c>
    </row>
    <row r="617" spans="1:13" x14ac:dyDescent="0.25">
      <c r="A617">
        <v>66</v>
      </c>
      <c r="B617">
        <v>3</v>
      </c>
      <c r="C617">
        <v>31.26</v>
      </c>
      <c r="D617">
        <v>1.8E-3</v>
      </c>
      <c r="E617" t="s">
        <v>18</v>
      </c>
      <c r="F617">
        <v>1</v>
      </c>
      <c r="G617">
        <f>COUNTIF(E:E,E617)</f>
        <v>110</v>
      </c>
      <c r="H617">
        <f>COUNTIFS(E:E,E617,A:A,A617,D:D,D617)</f>
        <v>1</v>
      </c>
      <c r="I617" t="e">
        <f>SUMIF([1]Mapeamento!$J:$J,A617,[1]Mapeamento!$L:$L)</f>
        <v>#VALUE!</v>
      </c>
      <c r="J617" s="1" t="e">
        <f>SUMIF('[1]Map_Meso-Ox'!$C:$C,A617,'[1]Map_Meso-Ox'!$D:$D)</f>
        <v>#VALUE!</v>
      </c>
      <c r="K617" s="2" t="e">
        <f t="shared" si="20"/>
        <v>#VALUE!</v>
      </c>
      <c r="L617" s="1" t="e">
        <f>SUMIF('[1]Map_Meso-Ox'!$C:$C,A617,'[1]Map_Meso-Ox'!$E:$E)</f>
        <v>#VALUE!</v>
      </c>
      <c r="M617" s="2" t="e">
        <f t="shared" si="21"/>
        <v>#VALUE!</v>
      </c>
    </row>
    <row r="618" spans="1:13" x14ac:dyDescent="0.25">
      <c r="A618">
        <v>67</v>
      </c>
      <c r="B618">
        <v>3</v>
      </c>
      <c r="C618">
        <v>46.975000000000001</v>
      </c>
      <c r="D618">
        <v>0</v>
      </c>
      <c r="E618" t="s">
        <v>18</v>
      </c>
      <c r="F618">
        <v>1</v>
      </c>
      <c r="G618">
        <f>COUNTIF(E:E,E618)</f>
        <v>110</v>
      </c>
      <c r="H618">
        <f>COUNTIFS(E:E,E618,A:A,A618,D:D,D618)</f>
        <v>1</v>
      </c>
      <c r="I618" t="e">
        <f>SUMIF([1]Mapeamento!$J:$J,A618,[1]Mapeamento!$L:$L)</f>
        <v>#VALUE!</v>
      </c>
      <c r="J618" s="1" t="e">
        <f>SUMIF('[1]Map_Meso-Ox'!$C:$C,A618,'[1]Map_Meso-Ox'!$D:$D)</f>
        <v>#VALUE!</v>
      </c>
      <c r="K618" s="2" t="e">
        <f t="shared" si="20"/>
        <v>#VALUE!</v>
      </c>
      <c r="L618" s="1" t="e">
        <f>SUMIF('[1]Map_Meso-Ox'!$C:$C,A618,'[1]Map_Meso-Ox'!$E:$E)</f>
        <v>#VALUE!</v>
      </c>
      <c r="M618" s="2" t="e">
        <f t="shared" si="21"/>
        <v>#VALUE!</v>
      </c>
    </row>
    <row r="619" spans="1:13" x14ac:dyDescent="0.25">
      <c r="A619">
        <v>68</v>
      </c>
      <c r="B619">
        <v>3</v>
      </c>
      <c r="C619">
        <v>39.661999999999999</v>
      </c>
      <c r="D619">
        <v>1E-4</v>
      </c>
      <c r="E619" t="s">
        <v>18</v>
      </c>
      <c r="F619">
        <v>3</v>
      </c>
      <c r="G619">
        <f>COUNTIF(E:E,E619)</f>
        <v>110</v>
      </c>
      <c r="H619">
        <f>COUNTIFS(E:E,E619,A:A,A619,D:D,D619)</f>
        <v>1</v>
      </c>
      <c r="I619" t="e">
        <f>SUMIF([1]Mapeamento!$J:$J,A619,[1]Mapeamento!$L:$L)</f>
        <v>#VALUE!</v>
      </c>
      <c r="J619" s="1" t="e">
        <f>SUMIF('[1]Map_Meso-Ox'!$C:$C,A619,'[1]Map_Meso-Ox'!$D:$D)</f>
        <v>#VALUE!</v>
      </c>
      <c r="K619" s="2" t="e">
        <f t="shared" si="20"/>
        <v>#VALUE!</v>
      </c>
      <c r="L619" s="1" t="e">
        <f>SUMIF('[1]Map_Meso-Ox'!$C:$C,A619,'[1]Map_Meso-Ox'!$E:$E)</f>
        <v>#VALUE!</v>
      </c>
      <c r="M619" s="2" t="e">
        <f t="shared" si="21"/>
        <v>#VALUE!</v>
      </c>
    </row>
    <row r="620" spans="1:13" x14ac:dyDescent="0.25">
      <c r="A620">
        <v>69</v>
      </c>
      <c r="B620">
        <v>3</v>
      </c>
      <c r="C620">
        <v>30.119</v>
      </c>
      <c r="D620">
        <v>2.7000000000000001E-3</v>
      </c>
      <c r="E620" t="s">
        <v>18</v>
      </c>
      <c r="F620">
        <v>0</v>
      </c>
      <c r="G620">
        <f>COUNTIF(E:E,E620)</f>
        <v>110</v>
      </c>
      <c r="H620">
        <f>COUNTIFS(E:E,E620,A:A,A620,D:D,D620)</f>
        <v>1</v>
      </c>
      <c r="I620" t="e">
        <f>SUMIF([1]Mapeamento!$J:$J,A620,[1]Mapeamento!$L:$L)</f>
        <v>#VALUE!</v>
      </c>
      <c r="J620" s="1" t="e">
        <f>SUMIF('[1]Map_Meso-Ox'!$C:$C,A620,'[1]Map_Meso-Ox'!$D:$D)</f>
        <v>#VALUE!</v>
      </c>
      <c r="K620" s="2" t="e">
        <f t="shared" si="20"/>
        <v>#VALUE!</v>
      </c>
      <c r="L620" s="1" t="e">
        <f>SUMIF('[1]Map_Meso-Ox'!$C:$C,A620,'[1]Map_Meso-Ox'!$E:$E)</f>
        <v>#VALUE!</v>
      </c>
      <c r="M620" s="2" t="e">
        <f t="shared" si="21"/>
        <v>#VALUE!</v>
      </c>
    </row>
    <row r="621" spans="1:13" x14ac:dyDescent="0.25">
      <c r="A621">
        <v>70</v>
      </c>
      <c r="B621">
        <v>3</v>
      </c>
      <c r="C621">
        <v>37.793999999999997</v>
      </c>
      <c r="D621">
        <v>2.0000000000000001E-4</v>
      </c>
      <c r="E621" t="s">
        <v>18</v>
      </c>
      <c r="F621">
        <v>1</v>
      </c>
      <c r="G621">
        <f>COUNTIF(E:E,E621)</f>
        <v>110</v>
      </c>
      <c r="H621">
        <f>COUNTIFS(E:E,E621,A:A,A621,D:D,D621)</f>
        <v>1</v>
      </c>
      <c r="I621" t="e">
        <f>SUMIF([1]Mapeamento!$J:$J,A621,[1]Mapeamento!$L:$L)</f>
        <v>#VALUE!</v>
      </c>
      <c r="J621" s="1" t="e">
        <f>SUMIF('[1]Map_Meso-Ox'!$C:$C,A621,'[1]Map_Meso-Ox'!$D:$D)</f>
        <v>#VALUE!</v>
      </c>
      <c r="K621" s="2" t="e">
        <f t="shared" si="20"/>
        <v>#VALUE!</v>
      </c>
      <c r="L621" s="1" t="e">
        <f>SUMIF('[1]Map_Meso-Ox'!$C:$C,A621,'[1]Map_Meso-Ox'!$E:$E)</f>
        <v>#VALUE!</v>
      </c>
      <c r="M621" s="2" t="e">
        <f t="shared" si="21"/>
        <v>#VALUE!</v>
      </c>
    </row>
    <row r="622" spans="1:13" x14ac:dyDescent="0.25">
      <c r="A622">
        <v>71</v>
      </c>
      <c r="B622">
        <v>3</v>
      </c>
      <c r="C622">
        <v>28.052</v>
      </c>
      <c r="D622">
        <v>5.4000000000000003E-3</v>
      </c>
      <c r="E622" t="s">
        <v>18</v>
      </c>
      <c r="F622">
        <v>2</v>
      </c>
      <c r="G622">
        <f>COUNTIF(E:E,E622)</f>
        <v>110</v>
      </c>
      <c r="H622">
        <f>COUNTIFS(E:E,E622,A:A,A622,D:D,D622)</f>
        <v>1</v>
      </c>
      <c r="I622" t="e">
        <f>SUMIF([1]Mapeamento!$J:$J,A622,[1]Mapeamento!$L:$L)</f>
        <v>#VALUE!</v>
      </c>
      <c r="J622" s="1" t="e">
        <f>SUMIF('[1]Map_Meso-Ox'!$C:$C,A622,'[1]Map_Meso-Ox'!$D:$D)</f>
        <v>#VALUE!</v>
      </c>
      <c r="K622" s="2" t="e">
        <f t="shared" si="20"/>
        <v>#VALUE!</v>
      </c>
      <c r="L622" s="1" t="e">
        <f>SUMIF('[1]Map_Meso-Ox'!$C:$C,A622,'[1]Map_Meso-Ox'!$E:$E)</f>
        <v>#VALUE!</v>
      </c>
      <c r="M622" s="2" t="e">
        <f t="shared" si="21"/>
        <v>#VALUE!</v>
      </c>
    </row>
    <row r="623" spans="1:13" x14ac:dyDescent="0.25">
      <c r="A623">
        <v>72</v>
      </c>
      <c r="B623">
        <v>3</v>
      </c>
      <c r="C623">
        <v>32.11</v>
      </c>
      <c r="D623">
        <v>1.2999999999999999E-3</v>
      </c>
      <c r="E623" t="s">
        <v>18</v>
      </c>
      <c r="F623">
        <v>1</v>
      </c>
      <c r="G623">
        <f>COUNTIF(E:E,E623)</f>
        <v>110</v>
      </c>
      <c r="H623">
        <f>COUNTIFS(E:E,E623,A:A,A623,D:D,D623)</f>
        <v>1</v>
      </c>
      <c r="I623" t="e">
        <f>SUMIF([1]Mapeamento!$J:$J,A623,[1]Mapeamento!$L:$L)</f>
        <v>#VALUE!</v>
      </c>
      <c r="J623" s="1" t="e">
        <f>SUMIF('[1]Map_Meso-Ox'!$C:$C,A623,'[1]Map_Meso-Ox'!$D:$D)</f>
        <v>#VALUE!</v>
      </c>
      <c r="K623" s="2" t="e">
        <f t="shared" si="20"/>
        <v>#VALUE!</v>
      </c>
      <c r="L623" s="1" t="e">
        <f>SUMIF('[1]Map_Meso-Ox'!$C:$C,A623,'[1]Map_Meso-Ox'!$E:$E)</f>
        <v>#VALUE!</v>
      </c>
      <c r="M623" s="2" t="e">
        <f t="shared" si="21"/>
        <v>#VALUE!</v>
      </c>
    </row>
    <row r="624" spans="1:13" x14ac:dyDescent="0.25">
      <c r="A624">
        <v>73</v>
      </c>
      <c r="B624">
        <v>3</v>
      </c>
      <c r="C624">
        <v>42.027999999999999</v>
      </c>
      <c r="D624">
        <v>0</v>
      </c>
      <c r="E624" t="s">
        <v>18</v>
      </c>
      <c r="F624">
        <v>2</v>
      </c>
      <c r="G624">
        <f>COUNTIF(E:E,E624)</f>
        <v>110</v>
      </c>
      <c r="H624">
        <f>COUNTIFS(E:E,E624,A:A,A624,D:D,D624)</f>
        <v>1</v>
      </c>
      <c r="I624" t="e">
        <f>SUMIF([1]Mapeamento!$J:$J,A624,[1]Mapeamento!$L:$L)</f>
        <v>#VALUE!</v>
      </c>
      <c r="J624" s="1" t="e">
        <f>SUMIF('[1]Map_Meso-Ox'!$C:$C,A624,'[1]Map_Meso-Ox'!$D:$D)</f>
        <v>#VALUE!</v>
      </c>
      <c r="K624" s="2" t="e">
        <f t="shared" si="20"/>
        <v>#VALUE!</v>
      </c>
      <c r="L624" s="1" t="e">
        <f>SUMIF('[1]Map_Meso-Ox'!$C:$C,A624,'[1]Map_Meso-Ox'!$E:$E)</f>
        <v>#VALUE!</v>
      </c>
      <c r="M624" s="2" t="e">
        <f t="shared" si="21"/>
        <v>#VALUE!</v>
      </c>
    </row>
    <row r="625" spans="1:13" x14ac:dyDescent="0.25">
      <c r="A625">
        <v>74</v>
      </c>
      <c r="B625">
        <v>3</v>
      </c>
      <c r="C625">
        <v>21.774999999999999</v>
      </c>
      <c r="D625">
        <v>4.0099999999999997E-2</v>
      </c>
      <c r="E625" t="s">
        <v>18</v>
      </c>
      <c r="F625">
        <v>0</v>
      </c>
      <c r="G625">
        <f>COUNTIF(E:E,E625)</f>
        <v>110</v>
      </c>
      <c r="H625">
        <f>COUNTIFS(E:E,E625,A:A,A625,D:D,D625)</f>
        <v>1</v>
      </c>
      <c r="I625" t="e">
        <f>SUMIF([1]Mapeamento!$J:$J,A625,[1]Mapeamento!$L:$L)</f>
        <v>#VALUE!</v>
      </c>
      <c r="J625" s="1" t="e">
        <f>SUMIF('[1]Map_Meso-Ox'!$C:$C,A625,'[1]Map_Meso-Ox'!$D:$D)</f>
        <v>#VALUE!</v>
      </c>
      <c r="K625" s="2" t="e">
        <f t="shared" si="20"/>
        <v>#VALUE!</v>
      </c>
      <c r="L625" s="1" t="e">
        <f>SUMIF('[1]Map_Meso-Ox'!$C:$C,A625,'[1]Map_Meso-Ox'!$E:$E)</f>
        <v>#VALUE!</v>
      </c>
      <c r="M625" s="2" t="e">
        <f t="shared" si="21"/>
        <v>#VALUE!</v>
      </c>
    </row>
    <row r="626" spans="1:13" x14ac:dyDescent="0.25">
      <c r="A626">
        <v>75</v>
      </c>
      <c r="B626">
        <v>3</v>
      </c>
      <c r="C626">
        <v>43.96</v>
      </c>
      <c r="D626">
        <v>0</v>
      </c>
      <c r="E626" t="s">
        <v>18</v>
      </c>
      <c r="F626">
        <v>1</v>
      </c>
      <c r="G626">
        <f>COUNTIF(E:E,E626)</f>
        <v>110</v>
      </c>
      <c r="H626">
        <f>COUNTIFS(E:E,E626,A:A,A626,D:D,D626)</f>
        <v>1</v>
      </c>
      <c r="I626" t="e">
        <f>SUMIF([1]Mapeamento!$J:$J,A626,[1]Mapeamento!$L:$L)</f>
        <v>#VALUE!</v>
      </c>
      <c r="J626" s="1" t="e">
        <f>SUMIF('[1]Map_Meso-Ox'!$C:$C,A626,'[1]Map_Meso-Ox'!$D:$D)</f>
        <v>#VALUE!</v>
      </c>
      <c r="K626" s="2" t="e">
        <f t="shared" si="20"/>
        <v>#VALUE!</v>
      </c>
      <c r="L626" s="1" t="e">
        <f>SUMIF('[1]Map_Meso-Ox'!$C:$C,A626,'[1]Map_Meso-Ox'!$E:$E)</f>
        <v>#VALUE!</v>
      </c>
      <c r="M626" s="2" t="e">
        <f t="shared" si="21"/>
        <v>#VALUE!</v>
      </c>
    </row>
    <row r="627" spans="1:13" x14ac:dyDescent="0.25">
      <c r="A627">
        <v>76</v>
      </c>
      <c r="B627">
        <v>3</v>
      </c>
      <c r="C627">
        <v>40.167000000000002</v>
      </c>
      <c r="D627">
        <v>1E-4</v>
      </c>
      <c r="E627" t="s">
        <v>18</v>
      </c>
      <c r="F627">
        <v>1</v>
      </c>
      <c r="G627">
        <f>COUNTIF(E:E,E627)</f>
        <v>110</v>
      </c>
      <c r="H627">
        <f>COUNTIFS(E:E,E627,A:A,A627,D:D,D627)</f>
        <v>1</v>
      </c>
      <c r="I627" t="e">
        <f>SUMIF([1]Mapeamento!$J:$J,A627,[1]Mapeamento!$L:$L)</f>
        <v>#VALUE!</v>
      </c>
      <c r="J627" s="1" t="e">
        <f>SUMIF('[1]Map_Meso-Ox'!$C:$C,A627,'[1]Map_Meso-Ox'!$D:$D)</f>
        <v>#VALUE!</v>
      </c>
      <c r="K627" s="2" t="e">
        <f t="shared" si="20"/>
        <v>#VALUE!</v>
      </c>
      <c r="L627" s="1" t="e">
        <f>SUMIF('[1]Map_Meso-Ox'!$C:$C,A627,'[1]Map_Meso-Ox'!$E:$E)</f>
        <v>#VALUE!</v>
      </c>
      <c r="M627" s="2" t="e">
        <f t="shared" si="21"/>
        <v>#VALUE!</v>
      </c>
    </row>
    <row r="628" spans="1:13" x14ac:dyDescent="0.25">
      <c r="A628">
        <v>77</v>
      </c>
      <c r="B628">
        <v>3</v>
      </c>
      <c r="C628">
        <v>53.097999999999999</v>
      </c>
      <c r="D628">
        <v>0</v>
      </c>
      <c r="E628" t="s">
        <v>18</v>
      </c>
      <c r="F628">
        <v>1</v>
      </c>
      <c r="G628">
        <f>COUNTIF(E:E,E628)</f>
        <v>110</v>
      </c>
      <c r="H628">
        <f>COUNTIFS(E:E,E628,A:A,A628,D:D,D628)</f>
        <v>1</v>
      </c>
      <c r="I628" t="e">
        <f>SUMIF([1]Mapeamento!$J:$J,A628,[1]Mapeamento!$L:$L)</f>
        <v>#VALUE!</v>
      </c>
      <c r="J628" s="1" t="e">
        <f>SUMIF('[1]Map_Meso-Ox'!$C:$C,A628,'[1]Map_Meso-Ox'!$D:$D)</f>
        <v>#VALUE!</v>
      </c>
      <c r="K628" s="2" t="e">
        <f t="shared" si="20"/>
        <v>#VALUE!</v>
      </c>
      <c r="L628" s="1" t="e">
        <f>SUMIF('[1]Map_Meso-Ox'!$C:$C,A628,'[1]Map_Meso-Ox'!$E:$E)</f>
        <v>#VALUE!</v>
      </c>
      <c r="M628" s="2" t="e">
        <f t="shared" si="21"/>
        <v>#VALUE!</v>
      </c>
    </row>
    <row r="629" spans="1:13" x14ac:dyDescent="0.25">
      <c r="A629">
        <v>78</v>
      </c>
      <c r="B629">
        <v>3</v>
      </c>
      <c r="C629">
        <v>36.978999999999999</v>
      </c>
      <c r="D629">
        <v>2.0000000000000001E-4</v>
      </c>
      <c r="E629" t="s">
        <v>18</v>
      </c>
      <c r="F629">
        <v>2</v>
      </c>
      <c r="G629">
        <f>COUNTIF(E:E,E629)</f>
        <v>110</v>
      </c>
      <c r="H629">
        <f>COUNTIFS(E:E,E629,A:A,A629,D:D,D629)</f>
        <v>1</v>
      </c>
      <c r="I629" t="e">
        <f>SUMIF([1]Mapeamento!$J:$J,A629,[1]Mapeamento!$L:$L)</f>
        <v>#VALUE!</v>
      </c>
      <c r="J629" s="1" t="e">
        <f>SUMIF('[1]Map_Meso-Ox'!$C:$C,A629,'[1]Map_Meso-Ox'!$D:$D)</f>
        <v>#VALUE!</v>
      </c>
      <c r="K629" s="2" t="e">
        <f t="shared" si="20"/>
        <v>#VALUE!</v>
      </c>
      <c r="L629" s="1" t="e">
        <f>SUMIF('[1]Map_Meso-Ox'!$C:$C,A629,'[1]Map_Meso-Ox'!$E:$E)</f>
        <v>#VALUE!</v>
      </c>
      <c r="M629" s="2" t="e">
        <f t="shared" si="21"/>
        <v>#VALUE!</v>
      </c>
    </row>
    <row r="630" spans="1:13" x14ac:dyDescent="0.25">
      <c r="A630">
        <v>79</v>
      </c>
      <c r="B630">
        <v>3</v>
      </c>
      <c r="C630">
        <v>31.853000000000002</v>
      </c>
      <c r="D630">
        <v>1.5E-3</v>
      </c>
      <c r="E630" t="s">
        <v>18</v>
      </c>
      <c r="F630">
        <v>1</v>
      </c>
      <c r="G630">
        <f>COUNTIF(E:E,E630)</f>
        <v>110</v>
      </c>
      <c r="H630">
        <f>COUNTIFS(E:E,E630,A:A,A630,D:D,D630)</f>
        <v>1</v>
      </c>
      <c r="I630" t="e">
        <f>SUMIF([1]Mapeamento!$J:$J,A630,[1]Mapeamento!$L:$L)</f>
        <v>#VALUE!</v>
      </c>
      <c r="J630" s="1" t="e">
        <f>SUMIF('[1]Map_Meso-Ox'!$C:$C,A630,'[1]Map_Meso-Ox'!$D:$D)</f>
        <v>#VALUE!</v>
      </c>
      <c r="K630" s="2" t="e">
        <f t="shared" si="20"/>
        <v>#VALUE!</v>
      </c>
      <c r="L630" s="1" t="e">
        <f>SUMIF('[1]Map_Meso-Ox'!$C:$C,A630,'[1]Map_Meso-Ox'!$E:$E)</f>
        <v>#VALUE!</v>
      </c>
      <c r="M630" s="2" t="e">
        <f t="shared" si="21"/>
        <v>#VALUE!</v>
      </c>
    </row>
    <row r="631" spans="1:13" x14ac:dyDescent="0.25">
      <c r="A631">
        <v>80</v>
      </c>
      <c r="B631">
        <v>3</v>
      </c>
      <c r="C631">
        <v>28.974</v>
      </c>
      <c r="D631">
        <v>4.0000000000000001E-3</v>
      </c>
      <c r="E631" t="s">
        <v>18</v>
      </c>
      <c r="F631">
        <v>1</v>
      </c>
      <c r="G631">
        <f>COUNTIF(E:E,E631)</f>
        <v>110</v>
      </c>
      <c r="H631">
        <f>COUNTIFS(E:E,E631,A:A,A631,D:D,D631)</f>
        <v>1</v>
      </c>
      <c r="I631" t="e">
        <f>SUMIF([1]Mapeamento!$J:$J,A631,[1]Mapeamento!$L:$L)</f>
        <v>#VALUE!</v>
      </c>
      <c r="J631" s="1" t="e">
        <f>SUMIF('[1]Map_Meso-Ox'!$C:$C,A631,'[1]Map_Meso-Ox'!$D:$D)</f>
        <v>#VALUE!</v>
      </c>
      <c r="K631" s="2" t="e">
        <f t="shared" si="20"/>
        <v>#VALUE!</v>
      </c>
      <c r="L631" s="1" t="e">
        <f>SUMIF('[1]Map_Meso-Ox'!$C:$C,A631,'[1]Map_Meso-Ox'!$E:$E)</f>
        <v>#VALUE!</v>
      </c>
      <c r="M631" s="2" t="e">
        <f t="shared" si="21"/>
        <v>#VALUE!</v>
      </c>
    </row>
    <row r="632" spans="1:13" x14ac:dyDescent="0.25">
      <c r="A632">
        <v>81</v>
      </c>
      <c r="B632">
        <v>3</v>
      </c>
      <c r="C632">
        <v>32.176000000000002</v>
      </c>
      <c r="D632">
        <v>1.2999999999999999E-3</v>
      </c>
      <c r="E632" t="s">
        <v>18</v>
      </c>
      <c r="F632">
        <v>1</v>
      </c>
      <c r="G632">
        <f>COUNTIF(E:E,E632)</f>
        <v>110</v>
      </c>
      <c r="H632">
        <f>COUNTIFS(E:E,E632,A:A,A632,D:D,D632)</f>
        <v>1</v>
      </c>
      <c r="I632" t="e">
        <f>SUMIF([1]Mapeamento!$J:$J,A632,[1]Mapeamento!$L:$L)</f>
        <v>#VALUE!</v>
      </c>
      <c r="J632" s="1" t="e">
        <f>SUMIF('[1]Map_Meso-Ox'!$C:$C,A632,'[1]Map_Meso-Ox'!$D:$D)</f>
        <v>#VALUE!</v>
      </c>
      <c r="K632" s="2" t="e">
        <f t="shared" si="20"/>
        <v>#VALUE!</v>
      </c>
      <c r="L632" s="1" t="e">
        <f>SUMIF('[1]Map_Meso-Ox'!$C:$C,A632,'[1]Map_Meso-Ox'!$E:$E)</f>
        <v>#VALUE!</v>
      </c>
      <c r="M632" s="2" t="e">
        <f t="shared" si="21"/>
        <v>#VALUE!</v>
      </c>
    </row>
    <row r="633" spans="1:13" x14ac:dyDescent="0.25">
      <c r="A633">
        <v>82</v>
      </c>
      <c r="B633">
        <v>3</v>
      </c>
      <c r="C633">
        <v>34.67</v>
      </c>
      <c r="D633">
        <v>5.0000000000000001E-4</v>
      </c>
      <c r="E633" t="s">
        <v>18</v>
      </c>
      <c r="F633">
        <v>1</v>
      </c>
      <c r="G633">
        <f>COUNTIF(E:E,E633)</f>
        <v>110</v>
      </c>
      <c r="H633">
        <f>COUNTIFS(E:E,E633,A:A,A633,D:D,D633)</f>
        <v>1</v>
      </c>
      <c r="I633" t="e">
        <f>SUMIF([1]Mapeamento!$J:$J,A633,[1]Mapeamento!$L:$L)</f>
        <v>#VALUE!</v>
      </c>
      <c r="J633" s="1" t="e">
        <f>SUMIF('[1]Map_Meso-Ox'!$C:$C,A633,'[1]Map_Meso-Ox'!$D:$D)</f>
        <v>#VALUE!</v>
      </c>
      <c r="K633" s="2" t="e">
        <f t="shared" si="20"/>
        <v>#VALUE!</v>
      </c>
      <c r="L633" s="1" t="e">
        <f>SUMIF('[1]Map_Meso-Ox'!$C:$C,A633,'[1]Map_Meso-Ox'!$E:$E)</f>
        <v>#VALUE!</v>
      </c>
      <c r="M633" s="2" t="e">
        <f t="shared" si="21"/>
        <v>#VALUE!</v>
      </c>
    </row>
    <row r="634" spans="1:13" x14ac:dyDescent="0.25">
      <c r="A634">
        <v>83</v>
      </c>
      <c r="B634">
        <v>3</v>
      </c>
      <c r="C634">
        <v>19.184999999999999</v>
      </c>
      <c r="D634">
        <v>8.4199999999999997E-2</v>
      </c>
      <c r="E634" t="s">
        <v>18</v>
      </c>
      <c r="F634">
        <v>1</v>
      </c>
      <c r="G634">
        <f>COUNTIF(E:E,E634)</f>
        <v>110</v>
      </c>
      <c r="H634">
        <f>COUNTIFS(E:E,E634,A:A,A634,D:D,D634)</f>
        <v>1</v>
      </c>
      <c r="I634" t="e">
        <f>SUMIF([1]Mapeamento!$J:$J,A634,[1]Mapeamento!$L:$L)</f>
        <v>#VALUE!</v>
      </c>
      <c r="J634" s="1" t="e">
        <f>SUMIF('[1]Map_Meso-Ox'!$C:$C,A634,'[1]Map_Meso-Ox'!$D:$D)</f>
        <v>#VALUE!</v>
      </c>
      <c r="K634" s="2" t="e">
        <f t="shared" si="20"/>
        <v>#VALUE!</v>
      </c>
      <c r="L634" s="1" t="e">
        <f>SUMIF('[1]Map_Meso-Ox'!$C:$C,A634,'[1]Map_Meso-Ox'!$E:$E)</f>
        <v>#VALUE!</v>
      </c>
      <c r="M634" s="2" t="e">
        <f t="shared" si="21"/>
        <v>#VALUE!</v>
      </c>
    </row>
    <row r="635" spans="1:13" x14ac:dyDescent="0.25">
      <c r="A635">
        <v>84</v>
      </c>
      <c r="B635">
        <v>3</v>
      </c>
      <c r="C635">
        <v>30.283000000000001</v>
      </c>
      <c r="D635">
        <v>2.5000000000000001E-3</v>
      </c>
      <c r="E635" t="s">
        <v>18</v>
      </c>
      <c r="F635">
        <v>2</v>
      </c>
      <c r="G635">
        <f>COUNTIF(E:E,E635)</f>
        <v>110</v>
      </c>
      <c r="H635">
        <f>COUNTIFS(E:E,E635,A:A,A635,D:D,D635)</f>
        <v>1</v>
      </c>
      <c r="I635" t="e">
        <f>SUMIF([1]Mapeamento!$J:$J,A635,[1]Mapeamento!$L:$L)</f>
        <v>#VALUE!</v>
      </c>
      <c r="J635" s="1" t="e">
        <f>SUMIF('[1]Map_Meso-Ox'!$C:$C,A635,'[1]Map_Meso-Ox'!$D:$D)</f>
        <v>#VALUE!</v>
      </c>
      <c r="K635" s="2" t="e">
        <f t="shared" si="20"/>
        <v>#VALUE!</v>
      </c>
      <c r="L635" s="1" t="e">
        <f>SUMIF('[1]Map_Meso-Ox'!$C:$C,A635,'[1]Map_Meso-Ox'!$E:$E)</f>
        <v>#VALUE!</v>
      </c>
      <c r="M635" s="2" t="e">
        <f t="shared" si="21"/>
        <v>#VALUE!</v>
      </c>
    </row>
    <row r="636" spans="1:13" x14ac:dyDescent="0.25">
      <c r="A636">
        <v>85</v>
      </c>
      <c r="B636">
        <v>3</v>
      </c>
      <c r="C636">
        <v>36.78</v>
      </c>
      <c r="D636">
        <v>2.0000000000000001E-4</v>
      </c>
      <c r="E636" t="s">
        <v>18</v>
      </c>
      <c r="F636">
        <v>1</v>
      </c>
      <c r="G636">
        <f>COUNTIF(E:E,E636)</f>
        <v>110</v>
      </c>
      <c r="H636">
        <f>COUNTIFS(E:E,E636,A:A,A636,D:D,D636)</f>
        <v>1</v>
      </c>
      <c r="I636" t="e">
        <f>SUMIF([1]Mapeamento!$J:$J,A636,[1]Mapeamento!$L:$L)</f>
        <v>#VALUE!</v>
      </c>
      <c r="J636" s="1" t="e">
        <f>SUMIF('[1]Map_Meso-Ox'!$C:$C,A636,'[1]Map_Meso-Ox'!$D:$D)</f>
        <v>#VALUE!</v>
      </c>
      <c r="K636" s="2" t="e">
        <f t="shared" si="20"/>
        <v>#VALUE!</v>
      </c>
      <c r="L636" s="1" t="e">
        <f>SUMIF('[1]Map_Meso-Ox'!$C:$C,A636,'[1]Map_Meso-Ox'!$E:$E)</f>
        <v>#VALUE!</v>
      </c>
      <c r="M636" s="2" t="e">
        <f t="shared" si="21"/>
        <v>#VALUE!</v>
      </c>
    </row>
    <row r="637" spans="1:13" x14ac:dyDescent="0.25">
      <c r="A637">
        <v>86</v>
      </c>
      <c r="B637">
        <v>3</v>
      </c>
      <c r="C637">
        <v>19.948</v>
      </c>
      <c r="D637">
        <v>6.8099999999999994E-2</v>
      </c>
      <c r="E637" t="s">
        <v>18</v>
      </c>
      <c r="F637">
        <v>1</v>
      </c>
      <c r="G637">
        <f>COUNTIF(E:E,E637)</f>
        <v>110</v>
      </c>
      <c r="H637">
        <f>COUNTIFS(E:E,E637,A:A,A637,D:D,D637)</f>
        <v>1</v>
      </c>
      <c r="I637" t="e">
        <f>SUMIF([1]Mapeamento!$J:$J,A637,[1]Mapeamento!$L:$L)</f>
        <v>#VALUE!</v>
      </c>
      <c r="J637" s="1" t="e">
        <f>SUMIF('[1]Map_Meso-Ox'!$C:$C,A637,'[1]Map_Meso-Ox'!$D:$D)</f>
        <v>#VALUE!</v>
      </c>
      <c r="K637" s="2" t="e">
        <f t="shared" si="20"/>
        <v>#VALUE!</v>
      </c>
      <c r="L637" s="1" t="e">
        <f>SUMIF('[1]Map_Meso-Ox'!$C:$C,A637,'[1]Map_Meso-Ox'!$E:$E)</f>
        <v>#VALUE!</v>
      </c>
      <c r="M637" s="2" t="e">
        <f t="shared" si="21"/>
        <v>#VALUE!</v>
      </c>
    </row>
    <row r="638" spans="1:13" x14ac:dyDescent="0.25">
      <c r="A638">
        <v>87</v>
      </c>
      <c r="B638">
        <v>3</v>
      </c>
      <c r="C638">
        <v>29.673999999999999</v>
      </c>
      <c r="D638">
        <v>3.0999999999999999E-3</v>
      </c>
      <c r="E638" t="s">
        <v>18</v>
      </c>
      <c r="F638">
        <v>0</v>
      </c>
      <c r="G638">
        <f>COUNTIF(E:E,E638)</f>
        <v>110</v>
      </c>
      <c r="H638">
        <f>COUNTIFS(E:E,E638,A:A,A638,D:D,D638)</f>
        <v>1</v>
      </c>
      <c r="I638" t="e">
        <f>SUMIF([1]Mapeamento!$J:$J,A638,[1]Mapeamento!$L:$L)</f>
        <v>#VALUE!</v>
      </c>
      <c r="J638" s="1" t="e">
        <f>SUMIF('[1]Map_Meso-Ox'!$C:$C,A638,'[1]Map_Meso-Ox'!$D:$D)</f>
        <v>#VALUE!</v>
      </c>
      <c r="K638" s="2" t="e">
        <f t="shared" si="20"/>
        <v>#VALUE!</v>
      </c>
      <c r="L638" s="1" t="e">
        <f>SUMIF('[1]Map_Meso-Ox'!$C:$C,A638,'[1]Map_Meso-Ox'!$E:$E)</f>
        <v>#VALUE!</v>
      </c>
      <c r="M638" s="2" t="e">
        <f t="shared" si="21"/>
        <v>#VALUE!</v>
      </c>
    </row>
    <row r="639" spans="1:13" x14ac:dyDescent="0.25">
      <c r="A639">
        <v>88</v>
      </c>
      <c r="B639">
        <v>3</v>
      </c>
      <c r="C639">
        <v>9.4474</v>
      </c>
      <c r="D639">
        <v>0.6643</v>
      </c>
      <c r="E639" t="s">
        <v>18</v>
      </c>
      <c r="F639">
        <v>0</v>
      </c>
      <c r="G639">
        <f>COUNTIF(E:E,E639)</f>
        <v>110</v>
      </c>
      <c r="H639">
        <f>COUNTIFS(E:E,E639,A:A,A639,D:D,D639)</f>
        <v>1</v>
      </c>
      <c r="I639" t="e">
        <f>SUMIF([1]Mapeamento!$J:$J,A639,[1]Mapeamento!$L:$L)</f>
        <v>#VALUE!</v>
      </c>
      <c r="J639" s="1" t="e">
        <f>SUMIF('[1]Map_Meso-Ox'!$C:$C,A639,'[1]Map_Meso-Ox'!$D:$D)</f>
        <v>#VALUE!</v>
      </c>
      <c r="K639" s="2" t="e">
        <f t="shared" si="20"/>
        <v>#VALUE!</v>
      </c>
      <c r="L639" s="1" t="e">
        <f>SUMIF('[1]Map_Meso-Ox'!$C:$C,A639,'[1]Map_Meso-Ox'!$E:$E)</f>
        <v>#VALUE!</v>
      </c>
      <c r="M639" s="2" t="e">
        <f t="shared" si="21"/>
        <v>#VALUE!</v>
      </c>
    </row>
    <row r="640" spans="1:13" x14ac:dyDescent="0.25">
      <c r="A640">
        <v>89</v>
      </c>
      <c r="B640">
        <v>3</v>
      </c>
      <c r="C640">
        <v>26.687999999999999</v>
      </c>
      <c r="D640">
        <v>8.6E-3</v>
      </c>
      <c r="E640" t="s">
        <v>18</v>
      </c>
      <c r="F640">
        <v>0</v>
      </c>
      <c r="G640">
        <f>COUNTIF(E:E,E640)</f>
        <v>110</v>
      </c>
      <c r="H640">
        <f>COUNTIFS(E:E,E640,A:A,A640,D:D,D640)</f>
        <v>1</v>
      </c>
      <c r="I640" t="e">
        <f>SUMIF([1]Mapeamento!$J:$J,A640,[1]Mapeamento!$L:$L)</f>
        <v>#VALUE!</v>
      </c>
      <c r="J640" s="1" t="e">
        <f>SUMIF('[1]Map_Meso-Ox'!$C:$C,A640,'[1]Map_Meso-Ox'!$D:$D)</f>
        <v>#VALUE!</v>
      </c>
      <c r="K640" s="2" t="e">
        <f t="shared" si="20"/>
        <v>#VALUE!</v>
      </c>
      <c r="L640" s="1" t="e">
        <f>SUMIF('[1]Map_Meso-Ox'!$C:$C,A640,'[1]Map_Meso-Ox'!$E:$E)</f>
        <v>#VALUE!</v>
      </c>
      <c r="M640" s="2" t="e">
        <f t="shared" si="21"/>
        <v>#VALUE!</v>
      </c>
    </row>
    <row r="641" spans="1:13" x14ac:dyDescent="0.25">
      <c r="A641">
        <v>90</v>
      </c>
      <c r="B641">
        <v>3</v>
      </c>
      <c r="C641">
        <v>38.729999999999997</v>
      </c>
      <c r="D641">
        <v>1E-4</v>
      </c>
      <c r="E641" t="s">
        <v>18</v>
      </c>
      <c r="F641">
        <v>1</v>
      </c>
      <c r="G641">
        <f>COUNTIF(E:E,E641)</f>
        <v>110</v>
      </c>
      <c r="H641">
        <f>COUNTIFS(E:E,E641,A:A,A641,D:D,D641)</f>
        <v>1</v>
      </c>
      <c r="I641" t="e">
        <f>SUMIF([1]Mapeamento!$J:$J,A641,[1]Mapeamento!$L:$L)</f>
        <v>#VALUE!</v>
      </c>
      <c r="J641" s="1" t="e">
        <f>SUMIF('[1]Map_Meso-Ox'!$C:$C,A641,'[1]Map_Meso-Ox'!$D:$D)</f>
        <v>#VALUE!</v>
      </c>
      <c r="K641" s="2" t="e">
        <f t="shared" si="20"/>
        <v>#VALUE!</v>
      </c>
      <c r="L641" s="1" t="e">
        <f>SUMIF('[1]Map_Meso-Ox'!$C:$C,A641,'[1]Map_Meso-Ox'!$E:$E)</f>
        <v>#VALUE!</v>
      </c>
      <c r="M641" s="2" t="e">
        <f t="shared" si="21"/>
        <v>#VALUE!</v>
      </c>
    </row>
    <row r="642" spans="1:13" x14ac:dyDescent="0.25">
      <c r="A642">
        <v>91</v>
      </c>
      <c r="B642">
        <v>3</v>
      </c>
      <c r="C642">
        <v>45.625</v>
      </c>
      <c r="D642">
        <v>0</v>
      </c>
      <c r="E642" t="s">
        <v>18</v>
      </c>
      <c r="F642">
        <v>2</v>
      </c>
      <c r="G642">
        <f>COUNTIF(E:E,E642)</f>
        <v>110</v>
      </c>
      <c r="H642">
        <f>COUNTIFS(E:E,E642,A:A,A642,D:D,D642)</f>
        <v>1</v>
      </c>
      <c r="I642" t="e">
        <f>SUMIF([1]Mapeamento!$J:$J,A642,[1]Mapeamento!$L:$L)</f>
        <v>#VALUE!</v>
      </c>
      <c r="J642" s="1" t="e">
        <f>SUMIF('[1]Map_Meso-Ox'!$C:$C,A642,'[1]Map_Meso-Ox'!$D:$D)</f>
        <v>#VALUE!</v>
      </c>
      <c r="K642" s="2" t="e">
        <f t="shared" si="20"/>
        <v>#VALUE!</v>
      </c>
      <c r="L642" s="1" t="e">
        <f>SUMIF('[1]Map_Meso-Ox'!$C:$C,A642,'[1]Map_Meso-Ox'!$E:$E)</f>
        <v>#VALUE!</v>
      </c>
      <c r="M642" s="2" t="e">
        <f t="shared" si="21"/>
        <v>#VALUE!</v>
      </c>
    </row>
    <row r="643" spans="1:13" x14ac:dyDescent="0.25">
      <c r="A643">
        <v>92</v>
      </c>
      <c r="B643">
        <v>3</v>
      </c>
      <c r="C643">
        <v>39.869999999999997</v>
      </c>
      <c r="D643">
        <v>1E-4</v>
      </c>
      <c r="E643" t="s">
        <v>18</v>
      </c>
      <c r="F643">
        <v>0</v>
      </c>
      <c r="G643">
        <f>COUNTIF(E:E,E643)</f>
        <v>110</v>
      </c>
      <c r="H643">
        <f>COUNTIFS(E:E,E643,A:A,A643,D:D,D643)</f>
        <v>1</v>
      </c>
      <c r="I643" t="e">
        <f>SUMIF([1]Mapeamento!$J:$J,A643,[1]Mapeamento!$L:$L)</f>
        <v>#VALUE!</v>
      </c>
      <c r="J643" s="1" t="e">
        <f>SUMIF('[1]Map_Meso-Ox'!$C:$C,A643,'[1]Map_Meso-Ox'!$D:$D)</f>
        <v>#VALUE!</v>
      </c>
      <c r="K643" s="2" t="e">
        <f t="shared" si="20"/>
        <v>#VALUE!</v>
      </c>
      <c r="L643" s="1" t="e">
        <f>SUMIF('[1]Map_Meso-Ox'!$C:$C,A643,'[1]Map_Meso-Ox'!$E:$E)</f>
        <v>#VALUE!</v>
      </c>
      <c r="M643" s="2" t="e">
        <f t="shared" si="21"/>
        <v>#VALUE!</v>
      </c>
    </row>
    <row r="644" spans="1:13" x14ac:dyDescent="0.25">
      <c r="A644">
        <v>93</v>
      </c>
      <c r="B644">
        <v>3</v>
      </c>
      <c r="C644">
        <v>45.366999999999997</v>
      </c>
      <c r="D644">
        <v>0</v>
      </c>
      <c r="E644" t="s">
        <v>18</v>
      </c>
      <c r="F644">
        <v>0</v>
      </c>
      <c r="G644">
        <f>COUNTIF(E:E,E644)</f>
        <v>110</v>
      </c>
      <c r="H644">
        <f>COUNTIFS(E:E,E644,A:A,A644,D:D,D644)</f>
        <v>1</v>
      </c>
      <c r="I644" t="e">
        <f>SUMIF([1]Mapeamento!$J:$J,A644,[1]Mapeamento!$L:$L)</f>
        <v>#VALUE!</v>
      </c>
      <c r="J644" s="1" t="e">
        <f>SUMIF('[1]Map_Meso-Ox'!$C:$C,A644,'[1]Map_Meso-Ox'!$D:$D)</f>
        <v>#VALUE!</v>
      </c>
      <c r="K644" s="2" t="e">
        <f t="shared" si="20"/>
        <v>#VALUE!</v>
      </c>
      <c r="L644" s="1" t="e">
        <f>SUMIF('[1]Map_Meso-Ox'!$C:$C,A644,'[1]Map_Meso-Ox'!$E:$E)</f>
        <v>#VALUE!</v>
      </c>
      <c r="M644" s="2" t="e">
        <f t="shared" si="21"/>
        <v>#VALUE!</v>
      </c>
    </row>
    <row r="645" spans="1:13" x14ac:dyDescent="0.25">
      <c r="A645">
        <v>94</v>
      </c>
      <c r="B645">
        <v>3</v>
      </c>
      <c r="C645">
        <v>29.43</v>
      </c>
      <c r="D645">
        <v>3.3999999999999998E-3</v>
      </c>
      <c r="E645" t="s">
        <v>18</v>
      </c>
      <c r="F645">
        <v>2</v>
      </c>
      <c r="G645">
        <f>COUNTIF(E:E,E645)</f>
        <v>110</v>
      </c>
      <c r="H645">
        <f>COUNTIFS(E:E,E645,A:A,A645,D:D,D645)</f>
        <v>1</v>
      </c>
      <c r="I645" t="e">
        <f>SUMIF([1]Mapeamento!$J:$J,A645,[1]Mapeamento!$L:$L)</f>
        <v>#VALUE!</v>
      </c>
      <c r="J645" s="1" t="e">
        <f>SUMIF('[1]Map_Meso-Ox'!$C:$C,A645,'[1]Map_Meso-Ox'!$D:$D)</f>
        <v>#VALUE!</v>
      </c>
      <c r="K645" s="2" t="e">
        <f t="shared" si="20"/>
        <v>#VALUE!</v>
      </c>
      <c r="L645" s="1" t="e">
        <f>SUMIF('[1]Map_Meso-Ox'!$C:$C,A645,'[1]Map_Meso-Ox'!$E:$E)</f>
        <v>#VALUE!</v>
      </c>
      <c r="M645" s="2" t="e">
        <f t="shared" si="21"/>
        <v>#VALUE!</v>
      </c>
    </row>
    <row r="646" spans="1:13" x14ac:dyDescent="0.25">
      <c r="A646">
        <v>95</v>
      </c>
      <c r="B646">
        <v>3</v>
      </c>
      <c r="C646">
        <v>19.937999999999999</v>
      </c>
      <c r="D646">
        <v>6.83E-2</v>
      </c>
      <c r="E646" t="s">
        <v>18</v>
      </c>
      <c r="F646">
        <v>0</v>
      </c>
      <c r="G646">
        <f>COUNTIF(E:E,E646)</f>
        <v>110</v>
      </c>
      <c r="H646">
        <f>COUNTIFS(E:E,E646,A:A,A646,D:D,D646)</f>
        <v>1</v>
      </c>
      <c r="I646" t="e">
        <f>SUMIF([1]Mapeamento!$J:$J,A646,[1]Mapeamento!$L:$L)</f>
        <v>#VALUE!</v>
      </c>
      <c r="J646" s="1" t="e">
        <f>SUMIF('[1]Map_Meso-Ox'!$C:$C,A646,'[1]Map_Meso-Ox'!$D:$D)</f>
        <v>#VALUE!</v>
      </c>
      <c r="K646" s="2" t="e">
        <f t="shared" si="20"/>
        <v>#VALUE!</v>
      </c>
      <c r="L646" s="1" t="e">
        <f>SUMIF('[1]Map_Meso-Ox'!$C:$C,A646,'[1]Map_Meso-Ox'!$E:$E)</f>
        <v>#VALUE!</v>
      </c>
      <c r="M646" s="2" t="e">
        <f t="shared" si="21"/>
        <v>#VALUE!</v>
      </c>
    </row>
    <row r="647" spans="1:13" x14ac:dyDescent="0.25">
      <c r="A647">
        <v>96</v>
      </c>
      <c r="B647">
        <v>3</v>
      </c>
      <c r="C647">
        <v>27.567</v>
      </c>
      <c r="D647">
        <v>6.4000000000000003E-3</v>
      </c>
      <c r="E647" t="s">
        <v>18</v>
      </c>
      <c r="F647">
        <v>0</v>
      </c>
      <c r="G647">
        <f>COUNTIF(E:E,E647)</f>
        <v>110</v>
      </c>
      <c r="H647">
        <f>COUNTIFS(E:E,E647,A:A,A647,D:D,D647)</f>
        <v>1</v>
      </c>
      <c r="I647" t="e">
        <f>SUMIF([1]Mapeamento!$J:$J,A647,[1]Mapeamento!$L:$L)</f>
        <v>#VALUE!</v>
      </c>
      <c r="J647" s="1" t="e">
        <f>SUMIF('[1]Map_Meso-Ox'!$C:$C,A647,'[1]Map_Meso-Ox'!$D:$D)</f>
        <v>#VALUE!</v>
      </c>
      <c r="K647" s="2" t="e">
        <f t="shared" si="20"/>
        <v>#VALUE!</v>
      </c>
      <c r="L647" s="1" t="e">
        <f>SUMIF('[1]Map_Meso-Ox'!$C:$C,A647,'[1]Map_Meso-Ox'!$E:$E)</f>
        <v>#VALUE!</v>
      </c>
      <c r="M647" s="2" t="e">
        <f t="shared" si="21"/>
        <v>#VALUE!</v>
      </c>
    </row>
    <row r="648" spans="1:13" x14ac:dyDescent="0.25">
      <c r="A648">
        <v>97</v>
      </c>
      <c r="B648">
        <v>3</v>
      </c>
      <c r="C648">
        <v>26.341999999999999</v>
      </c>
      <c r="D648">
        <v>9.5999999999999992E-3</v>
      </c>
      <c r="E648" t="s">
        <v>18</v>
      </c>
      <c r="F648">
        <v>1</v>
      </c>
      <c r="G648">
        <f>COUNTIF(E:E,E648)</f>
        <v>110</v>
      </c>
      <c r="H648">
        <f>COUNTIFS(E:E,E648,A:A,A648,D:D,D648)</f>
        <v>1</v>
      </c>
      <c r="I648" t="e">
        <f>SUMIF([1]Mapeamento!$J:$J,A648,[1]Mapeamento!$L:$L)</f>
        <v>#VALUE!</v>
      </c>
      <c r="J648" s="1" t="e">
        <f>SUMIF('[1]Map_Meso-Ox'!$C:$C,A648,'[1]Map_Meso-Ox'!$D:$D)</f>
        <v>#VALUE!</v>
      </c>
      <c r="K648" s="2" t="e">
        <f t="shared" si="20"/>
        <v>#VALUE!</v>
      </c>
      <c r="L648" s="1" t="e">
        <f>SUMIF('[1]Map_Meso-Ox'!$C:$C,A648,'[1]Map_Meso-Ox'!$E:$E)</f>
        <v>#VALUE!</v>
      </c>
      <c r="M648" s="2" t="e">
        <f t="shared" si="21"/>
        <v>#VALUE!</v>
      </c>
    </row>
    <row r="649" spans="1:13" x14ac:dyDescent="0.25">
      <c r="A649">
        <v>98</v>
      </c>
      <c r="B649">
        <v>3</v>
      </c>
      <c r="C649">
        <v>38.627000000000002</v>
      </c>
      <c r="D649">
        <v>1E-4</v>
      </c>
      <c r="E649" t="s">
        <v>18</v>
      </c>
      <c r="F649">
        <v>0</v>
      </c>
      <c r="G649">
        <f>COUNTIF(E:E,E649)</f>
        <v>110</v>
      </c>
      <c r="H649">
        <f>COUNTIFS(E:E,E649,A:A,A649,D:D,D649)</f>
        <v>1</v>
      </c>
      <c r="I649" t="e">
        <f>SUMIF([1]Mapeamento!$J:$J,A649,[1]Mapeamento!$L:$L)</f>
        <v>#VALUE!</v>
      </c>
      <c r="J649" s="1" t="e">
        <f>SUMIF('[1]Map_Meso-Ox'!$C:$C,A649,'[1]Map_Meso-Ox'!$D:$D)</f>
        <v>#VALUE!</v>
      </c>
      <c r="K649" s="2" t="e">
        <f t="shared" si="20"/>
        <v>#VALUE!</v>
      </c>
      <c r="L649" s="1" t="e">
        <f>SUMIF('[1]Map_Meso-Ox'!$C:$C,A649,'[1]Map_Meso-Ox'!$E:$E)</f>
        <v>#VALUE!</v>
      </c>
      <c r="M649" s="2" t="e">
        <f t="shared" si="21"/>
        <v>#VALUE!</v>
      </c>
    </row>
    <row r="650" spans="1:13" x14ac:dyDescent="0.25">
      <c r="A650">
        <v>99</v>
      </c>
      <c r="B650">
        <v>3</v>
      </c>
      <c r="C650">
        <v>54.121000000000002</v>
      </c>
      <c r="D650">
        <v>0</v>
      </c>
      <c r="E650" t="s">
        <v>18</v>
      </c>
      <c r="F650">
        <v>1</v>
      </c>
      <c r="G650">
        <f>COUNTIF(E:E,E650)</f>
        <v>110</v>
      </c>
      <c r="H650">
        <f>COUNTIFS(E:E,E650,A:A,A650,D:D,D650)</f>
        <v>1</v>
      </c>
      <c r="I650" t="e">
        <f>SUMIF([1]Mapeamento!$J:$J,A650,[1]Mapeamento!$L:$L)</f>
        <v>#VALUE!</v>
      </c>
      <c r="J650" s="1" t="e">
        <f>SUMIF('[1]Map_Meso-Ox'!$C:$C,A650,'[1]Map_Meso-Ox'!$D:$D)</f>
        <v>#VALUE!</v>
      </c>
      <c r="K650" s="2" t="e">
        <f t="shared" si="20"/>
        <v>#VALUE!</v>
      </c>
      <c r="L650" s="1" t="e">
        <f>SUMIF('[1]Map_Meso-Ox'!$C:$C,A650,'[1]Map_Meso-Ox'!$E:$E)</f>
        <v>#VALUE!</v>
      </c>
      <c r="M650" s="2" t="e">
        <f t="shared" si="21"/>
        <v>#VALUE!</v>
      </c>
    </row>
    <row r="651" spans="1:13" x14ac:dyDescent="0.25">
      <c r="A651">
        <v>100</v>
      </c>
      <c r="B651">
        <v>3</v>
      </c>
      <c r="C651">
        <v>56.271000000000001</v>
      </c>
      <c r="D651">
        <v>0</v>
      </c>
      <c r="E651" t="s">
        <v>18</v>
      </c>
      <c r="F651">
        <v>2</v>
      </c>
      <c r="G651">
        <f>COUNTIF(E:E,E651)</f>
        <v>110</v>
      </c>
      <c r="H651">
        <f>COUNTIFS(E:E,E651,A:A,A651,D:D,D651)</f>
        <v>1</v>
      </c>
      <c r="I651" t="e">
        <f>SUMIF([1]Mapeamento!$J:$J,A651,[1]Mapeamento!$L:$L)</f>
        <v>#VALUE!</v>
      </c>
      <c r="J651" s="1" t="e">
        <f>SUMIF('[1]Map_Meso-Ox'!$C:$C,A651,'[1]Map_Meso-Ox'!$D:$D)</f>
        <v>#VALUE!</v>
      </c>
      <c r="K651" s="2" t="e">
        <f t="shared" si="20"/>
        <v>#VALUE!</v>
      </c>
      <c r="L651" s="1" t="e">
        <f>SUMIF('[1]Map_Meso-Ox'!$C:$C,A651,'[1]Map_Meso-Ox'!$E:$E)</f>
        <v>#VALUE!</v>
      </c>
      <c r="M651" s="2" t="e">
        <f t="shared" si="21"/>
        <v>#VALUE!</v>
      </c>
    </row>
    <row r="652" spans="1:13" x14ac:dyDescent="0.25">
      <c r="A652">
        <v>101</v>
      </c>
      <c r="B652">
        <v>3</v>
      </c>
      <c r="C652">
        <v>79.91</v>
      </c>
      <c r="D652">
        <v>0</v>
      </c>
      <c r="E652" t="s">
        <v>18</v>
      </c>
      <c r="F652">
        <v>2</v>
      </c>
      <c r="G652">
        <f>COUNTIF(E:E,E652)</f>
        <v>110</v>
      </c>
      <c r="H652">
        <f>COUNTIFS(E:E,E652,A:A,A652,D:D,D652)</f>
        <v>1</v>
      </c>
      <c r="I652" t="e">
        <f>SUMIF([1]Mapeamento!$J:$J,A652,[1]Mapeamento!$L:$L)</f>
        <v>#VALUE!</v>
      </c>
      <c r="J652" s="1" t="e">
        <f>SUMIF('[1]Map_Meso-Ox'!$C:$C,A652,'[1]Map_Meso-Ox'!$D:$D)</f>
        <v>#VALUE!</v>
      </c>
      <c r="K652" s="2" t="e">
        <f t="shared" si="20"/>
        <v>#VALUE!</v>
      </c>
      <c r="L652" s="1" t="e">
        <f>SUMIF('[1]Map_Meso-Ox'!$C:$C,A652,'[1]Map_Meso-Ox'!$E:$E)</f>
        <v>#VALUE!</v>
      </c>
      <c r="M652" s="2" t="e">
        <f t="shared" si="21"/>
        <v>#VALUE!</v>
      </c>
    </row>
    <row r="653" spans="1:13" x14ac:dyDescent="0.25">
      <c r="A653">
        <v>102</v>
      </c>
      <c r="B653">
        <v>3</v>
      </c>
      <c r="C653">
        <v>34.841999999999999</v>
      </c>
      <c r="D653">
        <v>5.0000000000000001E-4</v>
      </c>
      <c r="E653" t="s">
        <v>18</v>
      </c>
      <c r="F653">
        <v>0</v>
      </c>
      <c r="G653">
        <f>COUNTIF(E:E,E653)</f>
        <v>110</v>
      </c>
      <c r="H653">
        <f>COUNTIFS(E:E,E653,A:A,A653,D:D,D653)</f>
        <v>1</v>
      </c>
      <c r="I653" t="e">
        <f>SUMIF([1]Mapeamento!$J:$J,A653,[1]Mapeamento!$L:$L)</f>
        <v>#VALUE!</v>
      </c>
      <c r="J653" s="1" t="e">
        <f>SUMIF('[1]Map_Meso-Ox'!$C:$C,A653,'[1]Map_Meso-Ox'!$D:$D)</f>
        <v>#VALUE!</v>
      </c>
      <c r="K653" s="2" t="e">
        <f t="shared" si="20"/>
        <v>#VALUE!</v>
      </c>
      <c r="L653" s="1" t="e">
        <f>SUMIF('[1]Map_Meso-Ox'!$C:$C,A653,'[1]Map_Meso-Ox'!$E:$E)</f>
        <v>#VALUE!</v>
      </c>
      <c r="M653" s="2" t="e">
        <f t="shared" si="21"/>
        <v>#VALUE!</v>
      </c>
    </row>
    <row r="654" spans="1:13" x14ac:dyDescent="0.25">
      <c r="A654">
        <v>103</v>
      </c>
      <c r="B654">
        <v>3</v>
      </c>
      <c r="C654">
        <v>52.521999999999998</v>
      </c>
      <c r="D654">
        <v>0</v>
      </c>
      <c r="E654" t="s">
        <v>18</v>
      </c>
      <c r="F654">
        <v>1</v>
      </c>
      <c r="G654">
        <f>COUNTIF(E:E,E654)</f>
        <v>110</v>
      </c>
      <c r="H654">
        <f>COUNTIFS(E:E,E654,A:A,A654,D:D,D654)</f>
        <v>1</v>
      </c>
      <c r="I654" t="e">
        <f>SUMIF([1]Mapeamento!$J:$J,A654,[1]Mapeamento!$L:$L)</f>
        <v>#VALUE!</v>
      </c>
      <c r="J654" s="1" t="e">
        <f>SUMIF('[1]Map_Meso-Ox'!$C:$C,A654,'[1]Map_Meso-Ox'!$D:$D)</f>
        <v>#VALUE!</v>
      </c>
      <c r="K654" s="2" t="e">
        <f t="shared" si="20"/>
        <v>#VALUE!</v>
      </c>
      <c r="L654" s="1" t="e">
        <f>SUMIF('[1]Map_Meso-Ox'!$C:$C,A654,'[1]Map_Meso-Ox'!$E:$E)</f>
        <v>#VALUE!</v>
      </c>
      <c r="M654" s="2" t="e">
        <f t="shared" si="21"/>
        <v>#VALUE!</v>
      </c>
    </row>
    <row r="655" spans="1:13" x14ac:dyDescent="0.25">
      <c r="A655">
        <v>104</v>
      </c>
      <c r="B655">
        <v>3</v>
      </c>
      <c r="C655">
        <v>38.567999999999998</v>
      </c>
      <c r="D655">
        <v>1E-4</v>
      </c>
      <c r="E655" t="s">
        <v>18</v>
      </c>
      <c r="F655">
        <v>1</v>
      </c>
      <c r="G655">
        <f>COUNTIF(E:E,E655)</f>
        <v>110</v>
      </c>
      <c r="H655">
        <f>COUNTIFS(E:E,E655,A:A,A655,D:D,D655)</f>
        <v>1</v>
      </c>
      <c r="I655" t="e">
        <f>SUMIF([1]Mapeamento!$J:$J,A655,[1]Mapeamento!$L:$L)</f>
        <v>#VALUE!</v>
      </c>
      <c r="J655" s="1" t="e">
        <f>SUMIF('[1]Map_Meso-Ox'!$C:$C,A655,'[1]Map_Meso-Ox'!$D:$D)</f>
        <v>#VALUE!</v>
      </c>
      <c r="K655" s="2" t="e">
        <f t="shared" si="20"/>
        <v>#VALUE!</v>
      </c>
      <c r="L655" s="1" t="e">
        <f>SUMIF('[1]Map_Meso-Ox'!$C:$C,A655,'[1]Map_Meso-Ox'!$E:$E)</f>
        <v>#VALUE!</v>
      </c>
      <c r="M655" s="2" t="e">
        <f t="shared" si="21"/>
        <v>#VALUE!</v>
      </c>
    </row>
    <row r="656" spans="1:13" x14ac:dyDescent="0.25">
      <c r="A656">
        <v>105</v>
      </c>
      <c r="B656">
        <v>3</v>
      </c>
      <c r="C656">
        <v>39.164999999999999</v>
      </c>
      <c r="D656">
        <v>1E-4</v>
      </c>
      <c r="E656" t="s">
        <v>18</v>
      </c>
      <c r="F656">
        <v>2</v>
      </c>
      <c r="G656">
        <f>COUNTIF(E:E,E656)</f>
        <v>110</v>
      </c>
      <c r="H656">
        <f>COUNTIFS(E:E,E656,A:A,A656,D:D,D656)</f>
        <v>1</v>
      </c>
      <c r="I656" t="e">
        <f>SUMIF([1]Mapeamento!$J:$J,A656,[1]Mapeamento!$L:$L)</f>
        <v>#VALUE!</v>
      </c>
      <c r="J656" s="1" t="e">
        <f>SUMIF('[1]Map_Meso-Ox'!$C:$C,A656,'[1]Map_Meso-Ox'!$D:$D)</f>
        <v>#VALUE!</v>
      </c>
      <c r="K656" s="2" t="e">
        <f t="shared" si="20"/>
        <v>#VALUE!</v>
      </c>
      <c r="L656" s="1" t="e">
        <f>SUMIF('[1]Map_Meso-Ox'!$C:$C,A656,'[1]Map_Meso-Ox'!$E:$E)</f>
        <v>#VALUE!</v>
      </c>
      <c r="M656" s="2" t="e">
        <f t="shared" si="21"/>
        <v>#VALUE!</v>
      </c>
    </row>
    <row r="657" spans="1:13" x14ac:dyDescent="0.25">
      <c r="A657">
        <v>106</v>
      </c>
      <c r="B657">
        <v>3</v>
      </c>
      <c r="C657">
        <v>40.784999999999997</v>
      </c>
      <c r="D657">
        <v>1E-4</v>
      </c>
      <c r="E657" t="s">
        <v>18</v>
      </c>
      <c r="F657">
        <v>2</v>
      </c>
      <c r="G657">
        <f>COUNTIF(E:E,E657)</f>
        <v>110</v>
      </c>
      <c r="H657">
        <f>COUNTIFS(E:E,E657,A:A,A657,D:D,D657)</f>
        <v>1</v>
      </c>
      <c r="I657" t="e">
        <f>SUMIF([1]Mapeamento!$J:$J,A657,[1]Mapeamento!$L:$L)</f>
        <v>#VALUE!</v>
      </c>
      <c r="J657" s="1" t="e">
        <f>SUMIF('[1]Map_Meso-Ox'!$C:$C,A657,'[1]Map_Meso-Ox'!$D:$D)</f>
        <v>#VALUE!</v>
      </c>
      <c r="K657" s="2" t="e">
        <f t="shared" si="20"/>
        <v>#VALUE!</v>
      </c>
      <c r="L657" s="1" t="e">
        <f>SUMIF('[1]Map_Meso-Ox'!$C:$C,A657,'[1]Map_Meso-Ox'!$E:$E)</f>
        <v>#VALUE!</v>
      </c>
      <c r="M657" s="2" t="e">
        <f t="shared" si="21"/>
        <v>#VALUE!</v>
      </c>
    </row>
    <row r="658" spans="1:13" x14ac:dyDescent="0.25">
      <c r="A658">
        <v>107</v>
      </c>
      <c r="B658">
        <v>3</v>
      </c>
      <c r="C658">
        <v>40.799999999999997</v>
      </c>
      <c r="D658">
        <v>1E-4</v>
      </c>
      <c r="E658" t="s">
        <v>18</v>
      </c>
      <c r="F658">
        <v>1</v>
      </c>
      <c r="G658">
        <f>COUNTIF(E:E,E658)</f>
        <v>110</v>
      </c>
      <c r="H658">
        <f>COUNTIFS(E:E,E658,A:A,A658,D:D,D658)</f>
        <v>1</v>
      </c>
      <c r="I658" t="e">
        <f>SUMIF([1]Mapeamento!$J:$J,A658,[1]Mapeamento!$L:$L)</f>
        <v>#VALUE!</v>
      </c>
      <c r="J658" s="1" t="e">
        <f>SUMIF('[1]Map_Meso-Ox'!$C:$C,A658,'[1]Map_Meso-Ox'!$D:$D)</f>
        <v>#VALUE!</v>
      </c>
      <c r="K658" s="2" t="e">
        <f t="shared" si="20"/>
        <v>#VALUE!</v>
      </c>
      <c r="L658" s="1" t="e">
        <f>SUMIF('[1]Map_Meso-Ox'!$C:$C,A658,'[1]Map_Meso-Ox'!$E:$E)</f>
        <v>#VALUE!</v>
      </c>
      <c r="M658" s="2" t="e">
        <f t="shared" si="21"/>
        <v>#VALUE!</v>
      </c>
    </row>
    <row r="659" spans="1:13" x14ac:dyDescent="0.25">
      <c r="A659">
        <v>108</v>
      </c>
      <c r="B659">
        <v>3</v>
      </c>
      <c r="C659">
        <v>52.5</v>
      </c>
      <c r="D659">
        <v>0</v>
      </c>
      <c r="E659" t="s">
        <v>18</v>
      </c>
      <c r="F659">
        <v>1</v>
      </c>
      <c r="G659">
        <f>COUNTIF(E:E,E659)</f>
        <v>110</v>
      </c>
      <c r="H659">
        <f>COUNTIFS(E:E,E659,A:A,A659,D:D,D659)</f>
        <v>1</v>
      </c>
      <c r="I659" t="e">
        <f>SUMIF([1]Mapeamento!$J:$J,A659,[1]Mapeamento!$L:$L)</f>
        <v>#VALUE!</v>
      </c>
      <c r="J659" s="1" t="e">
        <f>SUMIF('[1]Map_Meso-Ox'!$C:$C,A659,'[1]Map_Meso-Ox'!$D:$D)</f>
        <v>#VALUE!</v>
      </c>
      <c r="K659" s="2" t="e">
        <f t="shared" si="20"/>
        <v>#VALUE!</v>
      </c>
      <c r="L659" s="1" t="e">
        <f>SUMIF('[1]Map_Meso-Ox'!$C:$C,A659,'[1]Map_Meso-Ox'!$E:$E)</f>
        <v>#VALUE!</v>
      </c>
      <c r="M659" s="2" t="e">
        <f t="shared" si="21"/>
        <v>#VALUE!</v>
      </c>
    </row>
    <row r="660" spans="1:13" x14ac:dyDescent="0.25">
      <c r="A660">
        <v>109</v>
      </c>
      <c r="B660">
        <v>3</v>
      </c>
      <c r="C660">
        <v>31.991</v>
      </c>
      <c r="D660">
        <v>1.4E-3</v>
      </c>
      <c r="E660" t="s">
        <v>18</v>
      </c>
      <c r="F660">
        <v>1</v>
      </c>
      <c r="G660">
        <f>COUNTIF(E:E,E660)</f>
        <v>110</v>
      </c>
      <c r="H660">
        <f>COUNTIFS(E:E,E660,A:A,A660,D:D,D660)</f>
        <v>1</v>
      </c>
      <c r="I660" t="e">
        <f>SUMIF([1]Mapeamento!$J:$J,A660,[1]Mapeamento!$L:$L)</f>
        <v>#VALUE!</v>
      </c>
      <c r="J660" s="1" t="e">
        <f>SUMIF('[1]Map_Meso-Ox'!$C:$C,A660,'[1]Map_Meso-Ox'!$D:$D)</f>
        <v>#VALUE!</v>
      </c>
      <c r="K660" s="2" t="e">
        <f t="shared" si="20"/>
        <v>#VALUE!</v>
      </c>
      <c r="L660" s="1" t="e">
        <f>SUMIF('[1]Map_Meso-Ox'!$C:$C,A660,'[1]Map_Meso-Ox'!$E:$E)</f>
        <v>#VALUE!</v>
      </c>
      <c r="M660" s="2" t="e">
        <f t="shared" si="21"/>
        <v>#VALUE!</v>
      </c>
    </row>
    <row r="661" spans="1:13" x14ac:dyDescent="0.25">
      <c r="A661">
        <v>110</v>
      </c>
      <c r="B661">
        <v>3</v>
      </c>
      <c r="C661">
        <v>58.859000000000002</v>
      </c>
      <c r="D661">
        <v>0</v>
      </c>
      <c r="E661" t="s">
        <v>18</v>
      </c>
      <c r="F661">
        <v>2</v>
      </c>
      <c r="G661">
        <f>COUNTIF(E:E,E661)</f>
        <v>110</v>
      </c>
      <c r="H661">
        <f>COUNTIFS(E:E,E661,A:A,A661,D:D,D661)</f>
        <v>1</v>
      </c>
      <c r="I661" t="e">
        <f>SUMIF([1]Mapeamento!$J:$J,A661,[1]Mapeamento!$L:$L)</f>
        <v>#VALUE!</v>
      </c>
      <c r="J661" s="1" t="e">
        <f>SUMIF('[1]Map_Meso-Ox'!$C:$C,A661,'[1]Map_Meso-Ox'!$D:$D)</f>
        <v>#VALUE!</v>
      </c>
      <c r="K661" s="2" t="e">
        <f t="shared" si="20"/>
        <v>#VALUE!</v>
      </c>
      <c r="L661" s="1" t="e">
        <f>SUMIF('[1]Map_Meso-Ox'!$C:$C,A661,'[1]Map_Meso-Ox'!$E:$E)</f>
        <v>#VALUE!</v>
      </c>
      <c r="M661" s="2" t="e">
        <f t="shared" si="21"/>
        <v>#VALUE!</v>
      </c>
    </row>
    <row r="662" spans="1:13" x14ac:dyDescent="0.25">
      <c r="A662">
        <v>1</v>
      </c>
      <c r="B662">
        <v>3</v>
      </c>
      <c r="C662">
        <v>43.308</v>
      </c>
      <c r="D662">
        <v>1E-4</v>
      </c>
      <c r="E662" t="s">
        <v>19</v>
      </c>
      <c r="F662">
        <v>2</v>
      </c>
      <c r="G662">
        <f>COUNTIF(E:E,E662)</f>
        <v>110</v>
      </c>
      <c r="H662">
        <f>COUNTIFS(E:E,E662,A:A,A662,D:D,D662)</f>
        <v>1</v>
      </c>
      <c r="I662" t="e">
        <f>SUMIF([1]Mapeamento!$J:$J,A662,[1]Mapeamento!$L:$L)</f>
        <v>#VALUE!</v>
      </c>
      <c r="J662" s="1" t="e">
        <f>SUMIF('[1]Map_Meso-Ox'!$C:$C,A662,'[1]Map_Meso-Ox'!$D:$D)</f>
        <v>#VALUE!</v>
      </c>
      <c r="K662" s="2" t="e">
        <f t="shared" si="20"/>
        <v>#VALUE!</v>
      </c>
      <c r="L662" s="1" t="e">
        <f>SUMIF('[1]Map_Meso-Ox'!$C:$C,A662,'[1]Map_Meso-Ox'!$E:$E)</f>
        <v>#VALUE!</v>
      </c>
      <c r="M662" s="2" t="e">
        <f t="shared" si="21"/>
        <v>#VALUE!</v>
      </c>
    </row>
    <row r="663" spans="1:13" x14ac:dyDescent="0.25">
      <c r="A663">
        <v>2</v>
      </c>
      <c r="B663">
        <v>3</v>
      </c>
      <c r="C663">
        <v>76.649000000000001</v>
      </c>
      <c r="D663">
        <v>0</v>
      </c>
      <c r="E663" t="s">
        <v>19</v>
      </c>
      <c r="F663">
        <v>2</v>
      </c>
      <c r="G663">
        <f>COUNTIF(E:E,E663)</f>
        <v>110</v>
      </c>
      <c r="H663">
        <f>COUNTIFS(E:E,E663,A:A,A663,D:D,D663)</f>
        <v>1</v>
      </c>
      <c r="I663" t="e">
        <f>SUMIF([1]Mapeamento!$J:$J,A663,[1]Mapeamento!$L:$L)</f>
        <v>#VALUE!</v>
      </c>
      <c r="J663" s="1" t="e">
        <f>SUMIF('[1]Map_Meso-Ox'!$C:$C,A663,'[1]Map_Meso-Ox'!$D:$D)</f>
        <v>#VALUE!</v>
      </c>
      <c r="K663" s="2" t="e">
        <f t="shared" si="20"/>
        <v>#VALUE!</v>
      </c>
      <c r="L663" s="1" t="e">
        <f>SUMIF('[1]Map_Meso-Ox'!$C:$C,A663,'[1]Map_Meso-Ox'!$E:$E)</f>
        <v>#VALUE!</v>
      </c>
      <c r="M663" s="2" t="e">
        <f t="shared" si="21"/>
        <v>#VALUE!</v>
      </c>
    </row>
    <row r="664" spans="1:13" x14ac:dyDescent="0.25">
      <c r="A664">
        <v>3</v>
      </c>
      <c r="B664">
        <v>3</v>
      </c>
      <c r="C664">
        <v>43.613</v>
      </c>
      <c r="D664">
        <v>1E-4</v>
      </c>
      <c r="E664" t="s">
        <v>19</v>
      </c>
      <c r="F664">
        <v>1</v>
      </c>
      <c r="G664">
        <f>COUNTIF(E:E,E664)</f>
        <v>110</v>
      </c>
      <c r="H664">
        <f>COUNTIFS(E:E,E664,A:A,A664,D:D,D664)</f>
        <v>1</v>
      </c>
      <c r="I664" t="e">
        <f>SUMIF([1]Mapeamento!$J:$J,A664,[1]Mapeamento!$L:$L)</f>
        <v>#VALUE!</v>
      </c>
      <c r="J664" s="1" t="e">
        <f>SUMIF('[1]Map_Meso-Ox'!$C:$C,A664,'[1]Map_Meso-Ox'!$D:$D)</f>
        <v>#VALUE!</v>
      </c>
      <c r="K664" s="2" t="e">
        <f t="shared" si="20"/>
        <v>#VALUE!</v>
      </c>
      <c r="L664" s="1" t="e">
        <f>SUMIF('[1]Map_Meso-Ox'!$C:$C,A664,'[1]Map_Meso-Ox'!$E:$E)</f>
        <v>#VALUE!</v>
      </c>
      <c r="M664" s="2" t="e">
        <f t="shared" si="21"/>
        <v>#VALUE!</v>
      </c>
    </row>
    <row r="665" spans="1:13" x14ac:dyDescent="0.25">
      <c r="A665">
        <v>4</v>
      </c>
      <c r="B665">
        <v>3</v>
      </c>
      <c r="C665">
        <v>49.606000000000002</v>
      </c>
      <c r="D665">
        <v>0</v>
      </c>
      <c r="E665" t="s">
        <v>19</v>
      </c>
      <c r="F665">
        <v>1</v>
      </c>
      <c r="G665">
        <f>COUNTIF(E:E,E665)</f>
        <v>110</v>
      </c>
      <c r="H665">
        <f>COUNTIFS(E:E,E665,A:A,A665,D:D,D665)</f>
        <v>1</v>
      </c>
      <c r="I665" t="e">
        <f>SUMIF([1]Mapeamento!$J:$J,A665,[1]Mapeamento!$L:$L)</f>
        <v>#VALUE!</v>
      </c>
      <c r="J665" s="1" t="e">
        <f>SUMIF('[1]Map_Meso-Ox'!$C:$C,A665,'[1]Map_Meso-Ox'!$D:$D)</f>
        <v>#VALUE!</v>
      </c>
      <c r="K665" s="2" t="e">
        <f t="shared" si="20"/>
        <v>#VALUE!</v>
      </c>
      <c r="L665" s="1" t="e">
        <f>SUMIF('[1]Map_Meso-Ox'!$C:$C,A665,'[1]Map_Meso-Ox'!$E:$E)</f>
        <v>#VALUE!</v>
      </c>
      <c r="M665" s="2" t="e">
        <f t="shared" si="21"/>
        <v>#VALUE!</v>
      </c>
    </row>
    <row r="666" spans="1:13" x14ac:dyDescent="0.25">
      <c r="A666">
        <v>5</v>
      </c>
      <c r="B666">
        <v>3</v>
      </c>
      <c r="C666">
        <v>46.88</v>
      </c>
      <c r="D666">
        <v>0</v>
      </c>
      <c r="E666" t="s">
        <v>19</v>
      </c>
      <c r="F666">
        <v>0</v>
      </c>
      <c r="G666">
        <f>COUNTIF(E:E,E666)</f>
        <v>110</v>
      </c>
      <c r="H666">
        <f>COUNTIFS(E:E,E666,A:A,A666,D:D,D666)</f>
        <v>1</v>
      </c>
      <c r="I666" t="e">
        <f>SUMIF([1]Mapeamento!$J:$J,A666,[1]Mapeamento!$L:$L)</f>
        <v>#VALUE!</v>
      </c>
      <c r="J666" s="1" t="e">
        <f>SUMIF('[1]Map_Meso-Ox'!$C:$C,A666,'[1]Map_Meso-Ox'!$D:$D)</f>
        <v>#VALUE!</v>
      </c>
      <c r="K666" s="2" t="e">
        <f t="shared" si="20"/>
        <v>#VALUE!</v>
      </c>
      <c r="L666" s="1" t="e">
        <f>SUMIF('[1]Map_Meso-Ox'!$C:$C,A666,'[1]Map_Meso-Ox'!$E:$E)</f>
        <v>#VALUE!</v>
      </c>
      <c r="M666" s="2" t="e">
        <f t="shared" si="21"/>
        <v>#VALUE!</v>
      </c>
    </row>
    <row r="667" spans="1:13" x14ac:dyDescent="0.25">
      <c r="A667">
        <v>6</v>
      </c>
      <c r="B667">
        <v>3</v>
      </c>
      <c r="C667">
        <v>24.545000000000002</v>
      </c>
      <c r="D667">
        <v>5.6399999999999999E-2</v>
      </c>
      <c r="E667" t="s">
        <v>19</v>
      </c>
      <c r="F667">
        <v>1</v>
      </c>
      <c r="G667">
        <f>COUNTIF(E:E,E667)</f>
        <v>110</v>
      </c>
      <c r="H667">
        <f>COUNTIFS(E:E,E667,A:A,A667,D:D,D667)</f>
        <v>1</v>
      </c>
      <c r="I667" t="e">
        <f>SUMIF([1]Mapeamento!$J:$J,A667,[1]Mapeamento!$L:$L)</f>
        <v>#VALUE!</v>
      </c>
      <c r="J667" s="1" t="e">
        <f>SUMIF('[1]Map_Meso-Ox'!$C:$C,A667,'[1]Map_Meso-Ox'!$D:$D)</f>
        <v>#VALUE!</v>
      </c>
      <c r="K667" s="2" t="e">
        <f t="shared" si="20"/>
        <v>#VALUE!</v>
      </c>
      <c r="L667" s="1" t="e">
        <f>SUMIF('[1]Map_Meso-Ox'!$C:$C,A667,'[1]Map_Meso-Ox'!$E:$E)</f>
        <v>#VALUE!</v>
      </c>
      <c r="M667" s="2" t="e">
        <f t="shared" si="21"/>
        <v>#VALUE!</v>
      </c>
    </row>
    <row r="668" spans="1:13" x14ac:dyDescent="0.25">
      <c r="A668">
        <v>7</v>
      </c>
      <c r="B668">
        <v>3</v>
      </c>
      <c r="C668">
        <v>28.542999999999999</v>
      </c>
      <c r="D668">
        <v>1.84E-2</v>
      </c>
      <c r="E668" t="s">
        <v>19</v>
      </c>
      <c r="F668">
        <v>1</v>
      </c>
      <c r="G668">
        <f>COUNTIF(E:E,E668)</f>
        <v>110</v>
      </c>
      <c r="H668">
        <f>COUNTIFS(E:E,E668,A:A,A668,D:D,D668)</f>
        <v>1</v>
      </c>
      <c r="I668" t="e">
        <f>SUMIF([1]Mapeamento!$J:$J,A668,[1]Mapeamento!$L:$L)</f>
        <v>#VALUE!</v>
      </c>
      <c r="J668" s="1" t="e">
        <f>SUMIF('[1]Map_Meso-Ox'!$C:$C,A668,'[1]Map_Meso-Ox'!$D:$D)</f>
        <v>#VALUE!</v>
      </c>
      <c r="K668" s="2" t="e">
        <f t="shared" si="20"/>
        <v>#VALUE!</v>
      </c>
      <c r="L668" s="1" t="e">
        <f>SUMIF('[1]Map_Meso-Ox'!$C:$C,A668,'[1]Map_Meso-Ox'!$E:$E)</f>
        <v>#VALUE!</v>
      </c>
      <c r="M668" s="2" t="e">
        <f t="shared" si="21"/>
        <v>#VALUE!</v>
      </c>
    </row>
    <row r="669" spans="1:13" x14ac:dyDescent="0.25">
      <c r="A669">
        <v>8</v>
      </c>
      <c r="B669">
        <v>3</v>
      </c>
      <c r="C669">
        <v>46.701000000000001</v>
      </c>
      <c r="D669">
        <v>0</v>
      </c>
      <c r="E669" t="s">
        <v>19</v>
      </c>
      <c r="F669">
        <v>0</v>
      </c>
      <c r="G669">
        <f>COUNTIF(E:E,E669)</f>
        <v>110</v>
      </c>
      <c r="H669">
        <f>COUNTIFS(E:E,E669,A:A,A669,D:D,D669)</f>
        <v>1</v>
      </c>
      <c r="I669" t="e">
        <f>SUMIF([1]Mapeamento!$J:$J,A669,[1]Mapeamento!$L:$L)</f>
        <v>#VALUE!</v>
      </c>
      <c r="J669" s="1" t="e">
        <f>SUMIF('[1]Map_Meso-Ox'!$C:$C,A669,'[1]Map_Meso-Ox'!$D:$D)</f>
        <v>#VALUE!</v>
      </c>
      <c r="K669" s="2" t="e">
        <f t="shared" si="20"/>
        <v>#VALUE!</v>
      </c>
      <c r="L669" s="1" t="e">
        <f>SUMIF('[1]Map_Meso-Ox'!$C:$C,A669,'[1]Map_Meso-Ox'!$E:$E)</f>
        <v>#VALUE!</v>
      </c>
      <c r="M669" s="2" t="e">
        <f t="shared" si="21"/>
        <v>#VALUE!</v>
      </c>
    </row>
    <row r="670" spans="1:13" x14ac:dyDescent="0.25">
      <c r="A670">
        <v>9</v>
      </c>
      <c r="B670">
        <v>3</v>
      </c>
      <c r="C670">
        <v>32.345999999999997</v>
      </c>
      <c r="D670">
        <v>5.7999999999999996E-3</v>
      </c>
      <c r="E670" t="s">
        <v>19</v>
      </c>
      <c r="F670">
        <v>0</v>
      </c>
      <c r="G670">
        <f>COUNTIF(E:E,E670)</f>
        <v>110</v>
      </c>
      <c r="H670">
        <f>COUNTIFS(E:E,E670,A:A,A670,D:D,D670)</f>
        <v>1</v>
      </c>
      <c r="I670" t="e">
        <f>SUMIF([1]Mapeamento!$J:$J,A670,[1]Mapeamento!$L:$L)</f>
        <v>#VALUE!</v>
      </c>
      <c r="J670" s="1" t="e">
        <f>SUMIF('[1]Map_Meso-Ox'!$C:$C,A670,'[1]Map_Meso-Ox'!$D:$D)</f>
        <v>#VALUE!</v>
      </c>
      <c r="K670" s="2" t="e">
        <f t="shared" si="20"/>
        <v>#VALUE!</v>
      </c>
      <c r="L670" s="1" t="e">
        <f>SUMIF('[1]Map_Meso-Ox'!$C:$C,A670,'[1]Map_Meso-Ox'!$E:$E)</f>
        <v>#VALUE!</v>
      </c>
      <c r="M670" s="2" t="e">
        <f t="shared" si="21"/>
        <v>#VALUE!</v>
      </c>
    </row>
    <row r="671" spans="1:13" x14ac:dyDescent="0.25">
      <c r="A671">
        <v>10</v>
      </c>
      <c r="B671">
        <v>3</v>
      </c>
      <c r="C671">
        <v>25.983000000000001</v>
      </c>
      <c r="D671">
        <v>3.8199999999999998E-2</v>
      </c>
      <c r="E671" t="s">
        <v>19</v>
      </c>
      <c r="F671">
        <v>0</v>
      </c>
      <c r="G671">
        <f>COUNTIF(E:E,E671)</f>
        <v>110</v>
      </c>
      <c r="H671">
        <f>COUNTIFS(E:E,E671,A:A,A671,D:D,D671)</f>
        <v>1</v>
      </c>
      <c r="I671" t="e">
        <f>SUMIF([1]Mapeamento!$J:$J,A671,[1]Mapeamento!$L:$L)</f>
        <v>#VALUE!</v>
      </c>
      <c r="J671" s="1" t="e">
        <f>SUMIF('[1]Map_Meso-Ox'!$C:$C,A671,'[1]Map_Meso-Ox'!$D:$D)</f>
        <v>#VALUE!</v>
      </c>
      <c r="K671" s="2" t="e">
        <f t="shared" si="20"/>
        <v>#VALUE!</v>
      </c>
      <c r="L671" s="1" t="e">
        <f>SUMIF('[1]Map_Meso-Ox'!$C:$C,A671,'[1]Map_Meso-Ox'!$E:$E)</f>
        <v>#VALUE!</v>
      </c>
      <c r="M671" s="2" t="e">
        <f t="shared" si="21"/>
        <v>#VALUE!</v>
      </c>
    </row>
    <row r="672" spans="1:13" x14ac:dyDescent="0.25">
      <c r="A672">
        <v>11</v>
      </c>
      <c r="B672">
        <v>3</v>
      </c>
      <c r="C672">
        <v>32.006</v>
      </c>
      <c r="D672">
        <v>6.4000000000000003E-3</v>
      </c>
      <c r="E672" t="s">
        <v>19</v>
      </c>
      <c r="F672">
        <v>0</v>
      </c>
      <c r="G672">
        <f>COUNTIF(E:E,E672)</f>
        <v>110</v>
      </c>
      <c r="H672">
        <f>COUNTIFS(E:E,E672,A:A,A672,D:D,D672)</f>
        <v>1</v>
      </c>
      <c r="I672" t="e">
        <f>SUMIF([1]Mapeamento!$J:$J,A672,[1]Mapeamento!$L:$L)</f>
        <v>#VALUE!</v>
      </c>
      <c r="J672" s="1" t="e">
        <f>SUMIF('[1]Map_Meso-Ox'!$C:$C,A672,'[1]Map_Meso-Ox'!$D:$D)</f>
        <v>#VALUE!</v>
      </c>
      <c r="K672" s="2" t="e">
        <f t="shared" si="20"/>
        <v>#VALUE!</v>
      </c>
      <c r="L672" s="1" t="e">
        <f>SUMIF('[1]Map_Meso-Ox'!$C:$C,A672,'[1]Map_Meso-Ox'!$E:$E)</f>
        <v>#VALUE!</v>
      </c>
      <c r="M672" s="2" t="e">
        <f t="shared" si="21"/>
        <v>#VALUE!</v>
      </c>
    </row>
    <row r="673" spans="1:13" x14ac:dyDescent="0.25">
      <c r="A673">
        <v>12</v>
      </c>
      <c r="B673">
        <v>3</v>
      </c>
      <c r="C673">
        <v>48.786999999999999</v>
      </c>
      <c r="D673">
        <v>0</v>
      </c>
      <c r="E673" t="s">
        <v>19</v>
      </c>
      <c r="F673">
        <v>1</v>
      </c>
      <c r="G673">
        <f>COUNTIF(E:E,E673)</f>
        <v>110</v>
      </c>
      <c r="H673">
        <f>COUNTIFS(E:E,E673,A:A,A673,D:D,D673)</f>
        <v>1</v>
      </c>
      <c r="I673" t="e">
        <f>SUMIF([1]Mapeamento!$J:$J,A673,[1]Mapeamento!$L:$L)</f>
        <v>#VALUE!</v>
      </c>
      <c r="J673" s="1" t="e">
        <f>SUMIF('[1]Map_Meso-Ox'!$C:$C,A673,'[1]Map_Meso-Ox'!$D:$D)</f>
        <v>#VALUE!</v>
      </c>
      <c r="K673" s="2" t="e">
        <f t="shared" si="20"/>
        <v>#VALUE!</v>
      </c>
      <c r="L673" s="1" t="e">
        <f>SUMIF('[1]Map_Meso-Ox'!$C:$C,A673,'[1]Map_Meso-Ox'!$E:$E)</f>
        <v>#VALUE!</v>
      </c>
      <c r="M673" s="2" t="e">
        <f t="shared" si="21"/>
        <v>#VALUE!</v>
      </c>
    </row>
    <row r="674" spans="1:13" x14ac:dyDescent="0.25">
      <c r="A674">
        <v>13</v>
      </c>
      <c r="B674">
        <v>3</v>
      </c>
      <c r="C674">
        <v>52.116</v>
      </c>
      <c r="D674">
        <v>0</v>
      </c>
      <c r="E674" t="s">
        <v>19</v>
      </c>
      <c r="F674">
        <v>1</v>
      </c>
      <c r="G674">
        <f>COUNTIF(E:E,E674)</f>
        <v>110</v>
      </c>
      <c r="H674">
        <f>COUNTIFS(E:E,E674,A:A,A674,D:D,D674)</f>
        <v>1</v>
      </c>
      <c r="I674" t="e">
        <f>SUMIF([1]Mapeamento!$J:$J,A674,[1]Mapeamento!$L:$L)</f>
        <v>#VALUE!</v>
      </c>
      <c r="J674" s="1" t="e">
        <f>SUMIF('[1]Map_Meso-Ox'!$C:$C,A674,'[1]Map_Meso-Ox'!$D:$D)</f>
        <v>#VALUE!</v>
      </c>
      <c r="K674" s="2" t="e">
        <f t="shared" si="20"/>
        <v>#VALUE!</v>
      </c>
      <c r="L674" s="1" t="e">
        <f>SUMIF('[1]Map_Meso-Ox'!$C:$C,A674,'[1]Map_Meso-Ox'!$E:$E)</f>
        <v>#VALUE!</v>
      </c>
      <c r="M674" s="2" t="e">
        <f t="shared" si="21"/>
        <v>#VALUE!</v>
      </c>
    </row>
    <row r="675" spans="1:13" x14ac:dyDescent="0.25">
      <c r="A675">
        <v>14</v>
      </c>
      <c r="B675">
        <v>3</v>
      </c>
      <c r="C675">
        <v>58.593000000000004</v>
      </c>
      <c r="D675">
        <v>0</v>
      </c>
      <c r="E675" t="s">
        <v>19</v>
      </c>
      <c r="F675">
        <v>1</v>
      </c>
      <c r="G675">
        <f>COUNTIF(E:E,E675)</f>
        <v>110</v>
      </c>
      <c r="H675">
        <f>COUNTIFS(E:E,E675,A:A,A675,D:D,D675)</f>
        <v>1</v>
      </c>
      <c r="I675" t="e">
        <f>SUMIF([1]Mapeamento!$J:$J,A675,[1]Mapeamento!$L:$L)</f>
        <v>#VALUE!</v>
      </c>
      <c r="J675" s="1" t="e">
        <f>SUMIF('[1]Map_Meso-Ox'!$C:$C,A675,'[1]Map_Meso-Ox'!$D:$D)</f>
        <v>#VALUE!</v>
      </c>
      <c r="K675" s="2" t="e">
        <f t="shared" si="20"/>
        <v>#VALUE!</v>
      </c>
      <c r="L675" s="1" t="e">
        <f>SUMIF('[1]Map_Meso-Ox'!$C:$C,A675,'[1]Map_Meso-Ox'!$E:$E)</f>
        <v>#VALUE!</v>
      </c>
      <c r="M675" s="2" t="e">
        <f t="shared" si="21"/>
        <v>#VALUE!</v>
      </c>
    </row>
    <row r="676" spans="1:13" x14ac:dyDescent="0.25">
      <c r="A676">
        <v>15</v>
      </c>
      <c r="B676">
        <v>3</v>
      </c>
      <c r="C676">
        <v>38.93</v>
      </c>
      <c r="D676">
        <v>6.9999999999999999E-4</v>
      </c>
      <c r="E676" t="s">
        <v>19</v>
      </c>
      <c r="F676">
        <v>0</v>
      </c>
      <c r="G676">
        <f>COUNTIF(E:E,E676)</f>
        <v>110</v>
      </c>
      <c r="H676">
        <f>COUNTIFS(E:E,E676,A:A,A676,D:D,D676)</f>
        <v>1</v>
      </c>
      <c r="I676" t="e">
        <f>SUMIF([1]Mapeamento!$J:$J,A676,[1]Mapeamento!$L:$L)</f>
        <v>#VALUE!</v>
      </c>
      <c r="J676" s="1" t="e">
        <f>SUMIF('[1]Map_Meso-Ox'!$C:$C,A676,'[1]Map_Meso-Ox'!$D:$D)</f>
        <v>#VALUE!</v>
      </c>
      <c r="K676" s="2" t="e">
        <f t="shared" si="20"/>
        <v>#VALUE!</v>
      </c>
      <c r="L676" s="1" t="e">
        <f>SUMIF('[1]Map_Meso-Ox'!$C:$C,A676,'[1]Map_Meso-Ox'!$E:$E)</f>
        <v>#VALUE!</v>
      </c>
      <c r="M676" s="2" t="e">
        <f t="shared" si="21"/>
        <v>#VALUE!</v>
      </c>
    </row>
    <row r="677" spans="1:13" x14ac:dyDescent="0.25">
      <c r="A677">
        <v>16</v>
      </c>
      <c r="B677">
        <v>3</v>
      </c>
      <c r="C677">
        <v>58.444000000000003</v>
      </c>
      <c r="D677">
        <v>0</v>
      </c>
      <c r="E677" t="s">
        <v>19</v>
      </c>
      <c r="F677">
        <v>1</v>
      </c>
      <c r="G677">
        <f>COUNTIF(E:E,E677)</f>
        <v>110</v>
      </c>
      <c r="H677">
        <f>COUNTIFS(E:E,E677,A:A,A677,D:D,D677)</f>
        <v>1</v>
      </c>
      <c r="I677" t="e">
        <f>SUMIF([1]Mapeamento!$J:$J,A677,[1]Mapeamento!$L:$L)</f>
        <v>#VALUE!</v>
      </c>
      <c r="J677" s="1" t="e">
        <f>SUMIF('[1]Map_Meso-Ox'!$C:$C,A677,'[1]Map_Meso-Ox'!$D:$D)</f>
        <v>#VALUE!</v>
      </c>
      <c r="K677" s="2" t="e">
        <f t="shared" si="20"/>
        <v>#VALUE!</v>
      </c>
      <c r="L677" s="1" t="e">
        <f>SUMIF('[1]Map_Meso-Ox'!$C:$C,A677,'[1]Map_Meso-Ox'!$E:$E)</f>
        <v>#VALUE!</v>
      </c>
      <c r="M677" s="2" t="e">
        <f t="shared" si="21"/>
        <v>#VALUE!</v>
      </c>
    </row>
    <row r="678" spans="1:13" x14ac:dyDescent="0.25">
      <c r="A678">
        <v>17</v>
      </c>
      <c r="B678">
        <v>3</v>
      </c>
      <c r="C678">
        <v>82.906999999999996</v>
      </c>
      <c r="D678">
        <v>0</v>
      </c>
      <c r="E678" t="s">
        <v>19</v>
      </c>
      <c r="F678">
        <v>3</v>
      </c>
      <c r="G678">
        <f>COUNTIF(E:E,E678)</f>
        <v>110</v>
      </c>
      <c r="H678">
        <f>COUNTIFS(E:E,E678,A:A,A678,D:D,D678)</f>
        <v>1</v>
      </c>
      <c r="I678" t="e">
        <f>SUMIF([1]Mapeamento!$J:$J,A678,[1]Mapeamento!$L:$L)</f>
        <v>#VALUE!</v>
      </c>
      <c r="J678" s="1" t="e">
        <f>SUMIF('[1]Map_Meso-Ox'!$C:$C,A678,'[1]Map_Meso-Ox'!$D:$D)</f>
        <v>#VALUE!</v>
      </c>
      <c r="K678" s="2" t="e">
        <f t="shared" si="20"/>
        <v>#VALUE!</v>
      </c>
      <c r="L678" s="1" t="e">
        <f>SUMIF('[1]Map_Meso-Ox'!$C:$C,A678,'[1]Map_Meso-Ox'!$E:$E)</f>
        <v>#VALUE!</v>
      </c>
      <c r="M678" s="2" t="e">
        <f t="shared" si="21"/>
        <v>#VALUE!</v>
      </c>
    </row>
    <row r="679" spans="1:13" x14ac:dyDescent="0.25">
      <c r="A679">
        <v>18</v>
      </c>
      <c r="B679">
        <v>3</v>
      </c>
      <c r="C679">
        <v>39.012999999999998</v>
      </c>
      <c r="D679">
        <v>5.9999999999999995E-4</v>
      </c>
      <c r="E679" t="s">
        <v>19</v>
      </c>
      <c r="F679">
        <v>3</v>
      </c>
      <c r="G679">
        <f>COUNTIF(E:E,E679)</f>
        <v>110</v>
      </c>
      <c r="H679">
        <f>COUNTIFS(E:E,E679,A:A,A679,D:D,D679)</f>
        <v>1</v>
      </c>
      <c r="I679" t="e">
        <f>SUMIF([1]Mapeamento!$J:$J,A679,[1]Mapeamento!$L:$L)</f>
        <v>#VALUE!</v>
      </c>
      <c r="J679" s="1" t="e">
        <f>SUMIF('[1]Map_Meso-Ox'!$C:$C,A679,'[1]Map_Meso-Ox'!$D:$D)</f>
        <v>#VALUE!</v>
      </c>
      <c r="K679" s="2" t="e">
        <f t="shared" si="20"/>
        <v>#VALUE!</v>
      </c>
      <c r="L679" s="1" t="e">
        <f>SUMIF('[1]Map_Meso-Ox'!$C:$C,A679,'[1]Map_Meso-Ox'!$E:$E)</f>
        <v>#VALUE!</v>
      </c>
      <c r="M679" s="2" t="e">
        <f t="shared" si="21"/>
        <v>#VALUE!</v>
      </c>
    </row>
    <row r="680" spans="1:13" x14ac:dyDescent="0.25">
      <c r="A680">
        <v>19</v>
      </c>
      <c r="B680">
        <v>3</v>
      </c>
      <c r="C680">
        <v>58.045999999999999</v>
      </c>
      <c r="D680">
        <v>0</v>
      </c>
      <c r="E680" t="s">
        <v>19</v>
      </c>
      <c r="F680">
        <v>2</v>
      </c>
      <c r="G680">
        <f>COUNTIF(E:E,E680)</f>
        <v>110</v>
      </c>
      <c r="H680">
        <f>COUNTIFS(E:E,E680,A:A,A680,D:D,D680)</f>
        <v>1</v>
      </c>
      <c r="I680" t="e">
        <f>SUMIF([1]Mapeamento!$J:$J,A680,[1]Mapeamento!$L:$L)</f>
        <v>#VALUE!</v>
      </c>
      <c r="J680" s="1" t="e">
        <f>SUMIF('[1]Map_Meso-Ox'!$C:$C,A680,'[1]Map_Meso-Ox'!$D:$D)</f>
        <v>#VALUE!</v>
      </c>
      <c r="K680" s="2" t="e">
        <f t="shared" ref="K680:K743" si="22">J680/203401269</f>
        <v>#VALUE!</v>
      </c>
      <c r="L680" s="1" t="e">
        <f>SUMIF('[1]Map_Meso-Ox'!$C:$C,A680,'[1]Map_Meso-Ox'!$E:$E)</f>
        <v>#VALUE!</v>
      </c>
      <c r="M680" s="2" t="e">
        <f t="shared" ref="M680:M743" si="23">L680/3868725997.715</f>
        <v>#VALUE!</v>
      </c>
    </row>
    <row r="681" spans="1:13" x14ac:dyDescent="0.25">
      <c r="A681">
        <v>20</v>
      </c>
      <c r="B681">
        <v>3</v>
      </c>
      <c r="C681">
        <v>74.533000000000001</v>
      </c>
      <c r="D681">
        <v>0</v>
      </c>
      <c r="E681" t="s">
        <v>19</v>
      </c>
      <c r="F681">
        <v>2</v>
      </c>
      <c r="G681">
        <f>COUNTIF(E:E,E681)</f>
        <v>110</v>
      </c>
      <c r="H681">
        <f>COUNTIFS(E:E,E681,A:A,A681,D:D,D681)</f>
        <v>1</v>
      </c>
      <c r="I681" t="e">
        <f>SUMIF([1]Mapeamento!$J:$J,A681,[1]Mapeamento!$L:$L)</f>
        <v>#VALUE!</v>
      </c>
      <c r="J681" s="1" t="e">
        <f>SUMIF('[1]Map_Meso-Ox'!$C:$C,A681,'[1]Map_Meso-Ox'!$D:$D)</f>
        <v>#VALUE!</v>
      </c>
      <c r="K681" s="2" t="e">
        <f t="shared" si="22"/>
        <v>#VALUE!</v>
      </c>
      <c r="L681" s="1" t="e">
        <f>SUMIF('[1]Map_Meso-Ox'!$C:$C,A681,'[1]Map_Meso-Ox'!$E:$E)</f>
        <v>#VALUE!</v>
      </c>
      <c r="M681" s="2" t="e">
        <f t="shared" si="23"/>
        <v>#VALUE!</v>
      </c>
    </row>
    <row r="682" spans="1:13" x14ac:dyDescent="0.25">
      <c r="A682">
        <v>21</v>
      </c>
      <c r="B682">
        <v>3</v>
      </c>
      <c r="C682">
        <v>51.8</v>
      </c>
      <c r="D682">
        <v>0</v>
      </c>
      <c r="E682" t="s">
        <v>19</v>
      </c>
      <c r="F682">
        <v>2</v>
      </c>
      <c r="G682">
        <f>COUNTIF(E:E,E682)</f>
        <v>110</v>
      </c>
      <c r="H682">
        <f>COUNTIFS(E:E,E682,A:A,A682,D:D,D682)</f>
        <v>1</v>
      </c>
      <c r="I682" t="e">
        <f>SUMIF([1]Mapeamento!$J:$J,A682,[1]Mapeamento!$L:$L)</f>
        <v>#VALUE!</v>
      </c>
      <c r="J682" s="1" t="e">
        <f>SUMIF('[1]Map_Meso-Ox'!$C:$C,A682,'[1]Map_Meso-Ox'!$D:$D)</f>
        <v>#VALUE!</v>
      </c>
      <c r="K682" s="2" t="e">
        <f t="shared" si="22"/>
        <v>#VALUE!</v>
      </c>
      <c r="L682" s="1" t="e">
        <f>SUMIF('[1]Map_Meso-Ox'!$C:$C,A682,'[1]Map_Meso-Ox'!$E:$E)</f>
        <v>#VALUE!</v>
      </c>
      <c r="M682" s="2" t="e">
        <f t="shared" si="23"/>
        <v>#VALUE!</v>
      </c>
    </row>
    <row r="683" spans="1:13" x14ac:dyDescent="0.25">
      <c r="A683">
        <v>22</v>
      </c>
      <c r="B683">
        <v>3</v>
      </c>
      <c r="C683">
        <v>47.801000000000002</v>
      </c>
      <c r="D683">
        <v>0</v>
      </c>
      <c r="E683" t="s">
        <v>19</v>
      </c>
      <c r="F683">
        <v>3</v>
      </c>
      <c r="G683">
        <f>COUNTIF(E:E,E683)</f>
        <v>110</v>
      </c>
      <c r="H683">
        <f>COUNTIFS(E:E,E683,A:A,A683,D:D,D683)</f>
        <v>1</v>
      </c>
      <c r="I683" t="e">
        <f>SUMIF([1]Mapeamento!$J:$J,A683,[1]Mapeamento!$L:$L)</f>
        <v>#VALUE!</v>
      </c>
      <c r="J683" s="1" t="e">
        <f>SUMIF('[1]Map_Meso-Ox'!$C:$C,A683,'[1]Map_Meso-Ox'!$D:$D)</f>
        <v>#VALUE!</v>
      </c>
      <c r="K683" s="2" t="e">
        <f t="shared" si="22"/>
        <v>#VALUE!</v>
      </c>
      <c r="L683" s="1" t="e">
        <f>SUMIF('[1]Map_Meso-Ox'!$C:$C,A683,'[1]Map_Meso-Ox'!$E:$E)</f>
        <v>#VALUE!</v>
      </c>
      <c r="M683" s="2" t="e">
        <f t="shared" si="23"/>
        <v>#VALUE!</v>
      </c>
    </row>
    <row r="684" spans="1:13" x14ac:dyDescent="0.25">
      <c r="A684">
        <v>23</v>
      </c>
      <c r="B684">
        <v>3</v>
      </c>
      <c r="C684">
        <v>47.618000000000002</v>
      </c>
      <c r="D684">
        <v>0</v>
      </c>
      <c r="E684" t="s">
        <v>19</v>
      </c>
      <c r="F684">
        <v>1</v>
      </c>
      <c r="G684">
        <f>COUNTIF(E:E,E684)</f>
        <v>110</v>
      </c>
      <c r="H684">
        <f>COUNTIFS(E:E,E684,A:A,A684,D:D,D684)</f>
        <v>1</v>
      </c>
      <c r="I684" t="e">
        <f>SUMIF([1]Mapeamento!$J:$J,A684,[1]Mapeamento!$L:$L)</f>
        <v>#VALUE!</v>
      </c>
      <c r="J684" s="1" t="e">
        <f>SUMIF('[1]Map_Meso-Ox'!$C:$C,A684,'[1]Map_Meso-Ox'!$D:$D)</f>
        <v>#VALUE!</v>
      </c>
      <c r="K684" s="2" t="e">
        <f t="shared" si="22"/>
        <v>#VALUE!</v>
      </c>
      <c r="L684" s="1" t="e">
        <f>SUMIF('[1]Map_Meso-Ox'!$C:$C,A684,'[1]Map_Meso-Ox'!$E:$E)</f>
        <v>#VALUE!</v>
      </c>
      <c r="M684" s="2" t="e">
        <f t="shared" si="23"/>
        <v>#VALUE!</v>
      </c>
    </row>
    <row r="685" spans="1:13" x14ac:dyDescent="0.25">
      <c r="A685">
        <v>24</v>
      </c>
      <c r="B685">
        <v>3</v>
      </c>
      <c r="C685">
        <v>52.777000000000001</v>
      </c>
      <c r="D685">
        <v>0</v>
      </c>
      <c r="E685" t="s">
        <v>19</v>
      </c>
      <c r="F685">
        <v>1</v>
      </c>
      <c r="G685">
        <f>COUNTIF(E:E,E685)</f>
        <v>110</v>
      </c>
      <c r="H685">
        <f>COUNTIFS(E:E,E685,A:A,A685,D:D,D685)</f>
        <v>1</v>
      </c>
      <c r="I685" t="e">
        <f>SUMIF([1]Mapeamento!$J:$J,A685,[1]Mapeamento!$L:$L)</f>
        <v>#VALUE!</v>
      </c>
      <c r="J685" s="1" t="e">
        <f>SUMIF('[1]Map_Meso-Ox'!$C:$C,A685,'[1]Map_Meso-Ox'!$D:$D)</f>
        <v>#VALUE!</v>
      </c>
      <c r="K685" s="2" t="e">
        <f t="shared" si="22"/>
        <v>#VALUE!</v>
      </c>
      <c r="L685" s="1" t="e">
        <f>SUMIF('[1]Map_Meso-Ox'!$C:$C,A685,'[1]Map_Meso-Ox'!$E:$E)</f>
        <v>#VALUE!</v>
      </c>
      <c r="M685" s="2" t="e">
        <f t="shared" si="23"/>
        <v>#VALUE!</v>
      </c>
    </row>
    <row r="686" spans="1:13" x14ac:dyDescent="0.25">
      <c r="A686">
        <v>25</v>
      </c>
      <c r="B686">
        <v>3</v>
      </c>
      <c r="C686">
        <v>36.302</v>
      </c>
      <c r="D686">
        <v>1.6000000000000001E-3</v>
      </c>
      <c r="E686" t="s">
        <v>19</v>
      </c>
      <c r="F686">
        <v>1</v>
      </c>
      <c r="G686">
        <f>COUNTIF(E:E,E686)</f>
        <v>110</v>
      </c>
      <c r="H686">
        <f>COUNTIFS(E:E,E686,A:A,A686,D:D,D686)</f>
        <v>1</v>
      </c>
      <c r="I686" t="e">
        <f>SUMIF([1]Mapeamento!$J:$J,A686,[1]Mapeamento!$L:$L)</f>
        <v>#VALUE!</v>
      </c>
      <c r="J686" s="1" t="e">
        <f>SUMIF('[1]Map_Meso-Ox'!$C:$C,A686,'[1]Map_Meso-Ox'!$D:$D)</f>
        <v>#VALUE!</v>
      </c>
      <c r="K686" s="2" t="e">
        <f t="shared" si="22"/>
        <v>#VALUE!</v>
      </c>
      <c r="L686" s="1" t="e">
        <f>SUMIF('[1]Map_Meso-Ox'!$C:$C,A686,'[1]Map_Meso-Ox'!$E:$E)</f>
        <v>#VALUE!</v>
      </c>
      <c r="M686" s="2" t="e">
        <f t="shared" si="23"/>
        <v>#VALUE!</v>
      </c>
    </row>
    <row r="687" spans="1:13" x14ac:dyDescent="0.25">
      <c r="A687">
        <v>26</v>
      </c>
      <c r="B687">
        <v>3</v>
      </c>
      <c r="C687">
        <v>54.134</v>
      </c>
      <c r="D687">
        <v>0</v>
      </c>
      <c r="E687" t="s">
        <v>19</v>
      </c>
      <c r="F687">
        <v>2</v>
      </c>
      <c r="G687">
        <f>COUNTIF(E:E,E687)</f>
        <v>110</v>
      </c>
      <c r="H687">
        <f>COUNTIFS(E:E,E687,A:A,A687,D:D,D687)</f>
        <v>1</v>
      </c>
      <c r="I687" t="e">
        <f>SUMIF([1]Mapeamento!$J:$J,A687,[1]Mapeamento!$L:$L)</f>
        <v>#VALUE!</v>
      </c>
      <c r="J687" s="1" t="e">
        <f>SUMIF('[1]Map_Meso-Ox'!$C:$C,A687,'[1]Map_Meso-Ox'!$D:$D)</f>
        <v>#VALUE!</v>
      </c>
      <c r="K687" s="2" t="e">
        <f t="shared" si="22"/>
        <v>#VALUE!</v>
      </c>
      <c r="L687" s="1" t="e">
        <f>SUMIF('[1]Map_Meso-Ox'!$C:$C,A687,'[1]Map_Meso-Ox'!$E:$E)</f>
        <v>#VALUE!</v>
      </c>
      <c r="M687" s="2" t="e">
        <f t="shared" si="23"/>
        <v>#VALUE!</v>
      </c>
    </row>
    <row r="688" spans="1:13" x14ac:dyDescent="0.25">
      <c r="A688">
        <v>27</v>
      </c>
      <c r="B688">
        <v>3</v>
      </c>
      <c r="C688">
        <v>32.976999999999997</v>
      </c>
      <c r="D688">
        <v>4.7000000000000002E-3</v>
      </c>
      <c r="E688" t="s">
        <v>19</v>
      </c>
      <c r="F688">
        <v>0</v>
      </c>
      <c r="G688">
        <f>COUNTIF(E:E,E688)</f>
        <v>110</v>
      </c>
      <c r="H688">
        <f>COUNTIFS(E:E,E688,A:A,A688,D:D,D688)</f>
        <v>1</v>
      </c>
      <c r="I688" t="e">
        <f>SUMIF([1]Mapeamento!$J:$J,A688,[1]Mapeamento!$L:$L)</f>
        <v>#VALUE!</v>
      </c>
      <c r="J688" s="1" t="e">
        <f>SUMIF('[1]Map_Meso-Ox'!$C:$C,A688,'[1]Map_Meso-Ox'!$D:$D)</f>
        <v>#VALUE!</v>
      </c>
      <c r="K688" s="2" t="e">
        <f t="shared" si="22"/>
        <v>#VALUE!</v>
      </c>
      <c r="L688" s="1" t="e">
        <f>SUMIF('[1]Map_Meso-Ox'!$C:$C,A688,'[1]Map_Meso-Ox'!$E:$E)</f>
        <v>#VALUE!</v>
      </c>
      <c r="M688" s="2" t="e">
        <f t="shared" si="23"/>
        <v>#VALUE!</v>
      </c>
    </row>
    <row r="689" spans="1:13" x14ac:dyDescent="0.25">
      <c r="A689">
        <v>28</v>
      </c>
      <c r="B689">
        <v>3</v>
      </c>
      <c r="C689">
        <v>64.686000000000007</v>
      </c>
      <c r="D689">
        <v>0</v>
      </c>
      <c r="E689" t="s">
        <v>19</v>
      </c>
      <c r="F689">
        <v>2</v>
      </c>
      <c r="G689">
        <f>COUNTIF(E:E,E689)</f>
        <v>110</v>
      </c>
      <c r="H689">
        <f>COUNTIFS(E:E,E689,A:A,A689,D:D,D689)</f>
        <v>1</v>
      </c>
      <c r="I689" t="e">
        <f>SUMIF([1]Mapeamento!$J:$J,A689,[1]Mapeamento!$L:$L)</f>
        <v>#VALUE!</v>
      </c>
      <c r="J689" s="1" t="e">
        <f>SUMIF('[1]Map_Meso-Ox'!$C:$C,A689,'[1]Map_Meso-Ox'!$D:$D)</f>
        <v>#VALUE!</v>
      </c>
      <c r="K689" s="2" t="e">
        <f t="shared" si="22"/>
        <v>#VALUE!</v>
      </c>
      <c r="L689" s="1" t="e">
        <f>SUMIF('[1]Map_Meso-Ox'!$C:$C,A689,'[1]Map_Meso-Ox'!$E:$E)</f>
        <v>#VALUE!</v>
      </c>
      <c r="M689" s="2" t="e">
        <f t="shared" si="23"/>
        <v>#VALUE!</v>
      </c>
    </row>
    <row r="690" spans="1:13" x14ac:dyDescent="0.25">
      <c r="A690">
        <v>29</v>
      </c>
      <c r="B690">
        <v>3</v>
      </c>
      <c r="C690">
        <v>45.972999999999999</v>
      </c>
      <c r="D690">
        <v>1E-4</v>
      </c>
      <c r="E690" t="s">
        <v>19</v>
      </c>
      <c r="F690">
        <v>1</v>
      </c>
      <c r="G690">
        <f>COUNTIF(E:E,E690)</f>
        <v>110</v>
      </c>
      <c r="H690">
        <f>COUNTIFS(E:E,E690,A:A,A690,D:D,D690)</f>
        <v>1</v>
      </c>
      <c r="I690" t="e">
        <f>SUMIF([1]Mapeamento!$J:$J,A690,[1]Mapeamento!$L:$L)</f>
        <v>#VALUE!</v>
      </c>
      <c r="J690" s="1" t="e">
        <f>SUMIF('[1]Map_Meso-Ox'!$C:$C,A690,'[1]Map_Meso-Ox'!$D:$D)</f>
        <v>#VALUE!</v>
      </c>
      <c r="K690" s="2" t="e">
        <f t="shared" si="22"/>
        <v>#VALUE!</v>
      </c>
      <c r="L690" s="1" t="e">
        <f>SUMIF('[1]Map_Meso-Ox'!$C:$C,A690,'[1]Map_Meso-Ox'!$E:$E)</f>
        <v>#VALUE!</v>
      </c>
      <c r="M690" s="2" t="e">
        <f t="shared" si="23"/>
        <v>#VALUE!</v>
      </c>
    </row>
    <row r="691" spans="1:13" x14ac:dyDescent="0.25">
      <c r="A691">
        <v>30</v>
      </c>
      <c r="B691">
        <v>3</v>
      </c>
      <c r="C691">
        <v>45.636000000000003</v>
      </c>
      <c r="D691">
        <v>1E-4</v>
      </c>
      <c r="E691" t="s">
        <v>19</v>
      </c>
      <c r="F691">
        <v>1</v>
      </c>
      <c r="G691">
        <f>COUNTIF(E:E,E691)</f>
        <v>110</v>
      </c>
      <c r="H691">
        <f>COUNTIFS(E:E,E691,A:A,A691,D:D,D691)</f>
        <v>1</v>
      </c>
      <c r="I691" t="e">
        <f>SUMIF([1]Mapeamento!$J:$J,A691,[1]Mapeamento!$L:$L)</f>
        <v>#VALUE!</v>
      </c>
      <c r="J691" s="1" t="e">
        <f>SUMIF('[1]Map_Meso-Ox'!$C:$C,A691,'[1]Map_Meso-Ox'!$D:$D)</f>
        <v>#VALUE!</v>
      </c>
      <c r="K691" s="2" t="e">
        <f t="shared" si="22"/>
        <v>#VALUE!</v>
      </c>
      <c r="L691" s="1" t="e">
        <f>SUMIF('[1]Map_Meso-Ox'!$C:$C,A691,'[1]Map_Meso-Ox'!$E:$E)</f>
        <v>#VALUE!</v>
      </c>
      <c r="M691" s="2" t="e">
        <f t="shared" si="23"/>
        <v>#VALUE!</v>
      </c>
    </row>
    <row r="692" spans="1:13" x14ac:dyDescent="0.25">
      <c r="A692">
        <v>31</v>
      </c>
      <c r="B692">
        <v>3</v>
      </c>
      <c r="C692">
        <v>80.87</v>
      </c>
      <c r="D692">
        <v>0</v>
      </c>
      <c r="E692" t="s">
        <v>19</v>
      </c>
      <c r="F692">
        <v>1</v>
      </c>
      <c r="G692">
        <f>COUNTIF(E:E,E692)</f>
        <v>110</v>
      </c>
      <c r="H692">
        <f>COUNTIFS(E:E,E692,A:A,A692,D:D,D692)</f>
        <v>1</v>
      </c>
      <c r="I692" t="e">
        <f>SUMIF([1]Mapeamento!$J:$J,A692,[1]Mapeamento!$L:$L)</f>
        <v>#VALUE!</v>
      </c>
      <c r="J692" s="1" t="e">
        <f>SUMIF('[1]Map_Meso-Ox'!$C:$C,A692,'[1]Map_Meso-Ox'!$D:$D)</f>
        <v>#VALUE!</v>
      </c>
      <c r="K692" s="2" t="e">
        <f t="shared" si="22"/>
        <v>#VALUE!</v>
      </c>
      <c r="L692" s="1" t="e">
        <f>SUMIF('[1]Map_Meso-Ox'!$C:$C,A692,'[1]Map_Meso-Ox'!$E:$E)</f>
        <v>#VALUE!</v>
      </c>
      <c r="M692" s="2" t="e">
        <f t="shared" si="23"/>
        <v>#VALUE!</v>
      </c>
    </row>
    <row r="693" spans="1:13" x14ac:dyDescent="0.25">
      <c r="A693">
        <v>32</v>
      </c>
      <c r="B693">
        <v>3</v>
      </c>
      <c r="C693">
        <v>48.762</v>
      </c>
      <c r="D693">
        <v>0</v>
      </c>
      <c r="E693" t="s">
        <v>19</v>
      </c>
      <c r="F693">
        <v>1</v>
      </c>
      <c r="G693">
        <f>COUNTIF(E:E,E693)</f>
        <v>110</v>
      </c>
      <c r="H693">
        <f>COUNTIFS(E:E,E693,A:A,A693,D:D,D693)</f>
        <v>1</v>
      </c>
      <c r="I693" t="e">
        <f>SUMIF([1]Mapeamento!$J:$J,A693,[1]Mapeamento!$L:$L)</f>
        <v>#VALUE!</v>
      </c>
      <c r="J693" s="1" t="e">
        <f>SUMIF('[1]Map_Meso-Ox'!$C:$C,A693,'[1]Map_Meso-Ox'!$D:$D)</f>
        <v>#VALUE!</v>
      </c>
      <c r="K693" s="2" t="e">
        <f t="shared" si="22"/>
        <v>#VALUE!</v>
      </c>
      <c r="L693" s="1" t="e">
        <f>SUMIF('[1]Map_Meso-Ox'!$C:$C,A693,'[1]Map_Meso-Ox'!$E:$E)</f>
        <v>#VALUE!</v>
      </c>
      <c r="M693" s="2" t="e">
        <f t="shared" si="23"/>
        <v>#VALUE!</v>
      </c>
    </row>
    <row r="694" spans="1:13" x14ac:dyDescent="0.25">
      <c r="A694">
        <v>33</v>
      </c>
      <c r="B694">
        <v>3</v>
      </c>
      <c r="C694">
        <v>28.318999999999999</v>
      </c>
      <c r="D694">
        <v>1.9699999999999999E-2</v>
      </c>
      <c r="E694" t="s">
        <v>19</v>
      </c>
      <c r="F694">
        <v>0</v>
      </c>
      <c r="G694">
        <f>COUNTIF(E:E,E694)</f>
        <v>110</v>
      </c>
      <c r="H694">
        <f>COUNTIFS(E:E,E694,A:A,A694,D:D,D694)</f>
        <v>1</v>
      </c>
      <c r="I694" t="e">
        <f>SUMIF([1]Mapeamento!$J:$J,A694,[1]Mapeamento!$L:$L)</f>
        <v>#VALUE!</v>
      </c>
      <c r="J694" s="1" t="e">
        <f>SUMIF('[1]Map_Meso-Ox'!$C:$C,A694,'[1]Map_Meso-Ox'!$D:$D)</f>
        <v>#VALUE!</v>
      </c>
      <c r="K694" s="2" t="e">
        <f t="shared" si="22"/>
        <v>#VALUE!</v>
      </c>
      <c r="L694" s="1" t="e">
        <f>SUMIF('[1]Map_Meso-Ox'!$C:$C,A694,'[1]Map_Meso-Ox'!$E:$E)</f>
        <v>#VALUE!</v>
      </c>
      <c r="M694" s="2" t="e">
        <f t="shared" si="23"/>
        <v>#VALUE!</v>
      </c>
    </row>
    <row r="695" spans="1:13" x14ac:dyDescent="0.25">
      <c r="A695">
        <v>34</v>
      </c>
      <c r="B695">
        <v>3</v>
      </c>
      <c r="C695">
        <v>48.423999999999999</v>
      </c>
      <c r="D695">
        <v>0</v>
      </c>
      <c r="E695" t="s">
        <v>19</v>
      </c>
      <c r="F695">
        <v>2</v>
      </c>
      <c r="G695">
        <f>COUNTIF(E:E,E695)</f>
        <v>110</v>
      </c>
      <c r="H695">
        <f>COUNTIFS(E:E,E695,A:A,A695,D:D,D695)</f>
        <v>1</v>
      </c>
      <c r="I695" t="e">
        <f>SUMIF([1]Mapeamento!$J:$J,A695,[1]Mapeamento!$L:$L)</f>
        <v>#VALUE!</v>
      </c>
      <c r="J695" s="1" t="e">
        <f>SUMIF('[1]Map_Meso-Ox'!$C:$C,A695,'[1]Map_Meso-Ox'!$D:$D)</f>
        <v>#VALUE!</v>
      </c>
      <c r="K695" s="2" t="e">
        <f t="shared" si="22"/>
        <v>#VALUE!</v>
      </c>
      <c r="L695" s="1" t="e">
        <f>SUMIF('[1]Map_Meso-Ox'!$C:$C,A695,'[1]Map_Meso-Ox'!$E:$E)</f>
        <v>#VALUE!</v>
      </c>
      <c r="M695" s="2" t="e">
        <f t="shared" si="23"/>
        <v>#VALUE!</v>
      </c>
    </row>
    <row r="696" spans="1:13" x14ac:dyDescent="0.25">
      <c r="A696">
        <v>35</v>
      </c>
      <c r="B696">
        <v>3</v>
      </c>
      <c r="C696">
        <v>23.683</v>
      </c>
      <c r="D696">
        <v>7.0699999999999999E-2</v>
      </c>
      <c r="E696" t="s">
        <v>19</v>
      </c>
      <c r="F696">
        <v>0</v>
      </c>
      <c r="G696">
        <f>COUNTIF(E:E,E696)</f>
        <v>110</v>
      </c>
      <c r="H696">
        <f>COUNTIFS(E:E,E696,A:A,A696,D:D,D696)</f>
        <v>1</v>
      </c>
      <c r="I696" t="e">
        <f>SUMIF([1]Mapeamento!$J:$J,A696,[1]Mapeamento!$L:$L)</f>
        <v>#VALUE!</v>
      </c>
      <c r="J696" s="1" t="e">
        <f>SUMIF('[1]Map_Meso-Ox'!$C:$C,A696,'[1]Map_Meso-Ox'!$D:$D)</f>
        <v>#VALUE!</v>
      </c>
      <c r="K696" s="2" t="e">
        <f t="shared" si="22"/>
        <v>#VALUE!</v>
      </c>
      <c r="L696" s="1" t="e">
        <f>SUMIF('[1]Map_Meso-Ox'!$C:$C,A696,'[1]Map_Meso-Ox'!$E:$E)</f>
        <v>#VALUE!</v>
      </c>
      <c r="M696" s="2" t="e">
        <f t="shared" si="23"/>
        <v>#VALUE!</v>
      </c>
    </row>
    <row r="697" spans="1:13" x14ac:dyDescent="0.25">
      <c r="A697">
        <v>36</v>
      </c>
      <c r="B697">
        <v>3</v>
      </c>
      <c r="C697">
        <v>37.125</v>
      </c>
      <c r="D697">
        <v>1.1999999999999999E-3</v>
      </c>
      <c r="E697" t="s">
        <v>19</v>
      </c>
      <c r="F697">
        <v>2</v>
      </c>
      <c r="G697">
        <f>COUNTIF(E:E,E697)</f>
        <v>110</v>
      </c>
      <c r="H697">
        <f>COUNTIFS(E:E,E697,A:A,A697,D:D,D697)</f>
        <v>1</v>
      </c>
      <c r="I697" t="e">
        <f>SUMIF([1]Mapeamento!$J:$J,A697,[1]Mapeamento!$L:$L)</f>
        <v>#VALUE!</v>
      </c>
      <c r="J697" s="1" t="e">
        <f>SUMIF('[1]Map_Meso-Ox'!$C:$C,A697,'[1]Map_Meso-Ox'!$D:$D)</f>
        <v>#VALUE!</v>
      </c>
      <c r="K697" s="2" t="e">
        <f t="shared" si="22"/>
        <v>#VALUE!</v>
      </c>
      <c r="L697" s="1" t="e">
        <f>SUMIF('[1]Map_Meso-Ox'!$C:$C,A697,'[1]Map_Meso-Ox'!$E:$E)</f>
        <v>#VALUE!</v>
      </c>
      <c r="M697" s="2" t="e">
        <f t="shared" si="23"/>
        <v>#VALUE!</v>
      </c>
    </row>
    <row r="698" spans="1:13" x14ac:dyDescent="0.25">
      <c r="A698">
        <v>37</v>
      </c>
      <c r="B698">
        <v>3</v>
      </c>
      <c r="C698">
        <v>54.271000000000001</v>
      </c>
      <c r="D698">
        <v>0</v>
      </c>
      <c r="E698" t="s">
        <v>19</v>
      </c>
      <c r="F698">
        <v>1</v>
      </c>
      <c r="G698">
        <f>COUNTIF(E:E,E698)</f>
        <v>110</v>
      </c>
      <c r="H698">
        <f>COUNTIFS(E:E,E698,A:A,A698,D:D,D698)</f>
        <v>1</v>
      </c>
      <c r="I698" t="e">
        <f>SUMIF([1]Mapeamento!$J:$J,A698,[1]Mapeamento!$L:$L)</f>
        <v>#VALUE!</v>
      </c>
      <c r="J698" s="1" t="e">
        <f>SUMIF('[1]Map_Meso-Ox'!$C:$C,A698,'[1]Map_Meso-Ox'!$D:$D)</f>
        <v>#VALUE!</v>
      </c>
      <c r="K698" s="2" t="e">
        <f t="shared" si="22"/>
        <v>#VALUE!</v>
      </c>
      <c r="L698" s="1" t="e">
        <f>SUMIF('[1]Map_Meso-Ox'!$C:$C,A698,'[1]Map_Meso-Ox'!$E:$E)</f>
        <v>#VALUE!</v>
      </c>
      <c r="M698" s="2" t="e">
        <f t="shared" si="23"/>
        <v>#VALUE!</v>
      </c>
    </row>
    <row r="699" spans="1:13" x14ac:dyDescent="0.25">
      <c r="A699">
        <v>38</v>
      </c>
      <c r="B699">
        <v>3</v>
      </c>
      <c r="C699">
        <v>30.706</v>
      </c>
      <c r="D699">
        <v>9.5999999999999992E-3</v>
      </c>
      <c r="E699" t="s">
        <v>19</v>
      </c>
      <c r="F699">
        <v>0</v>
      </c>
      <c r="G699">
        <f>COUNTIF(E:E,E699)</f>
        <v>110</v>
      </c>
      <c r="H699">
        <f>COUNTIFS(E:E,E699,A:A,A699,D:D,D699)</f>
        <v>1</v>
      </c>
      <c r="I699" t="e">
        <f>SUMIF([1]Mapeamento!$J:$J,A699,[1]Mapeamento!$L:$L)</f>
        <v>#VALUE!</v>
      </c>
      <c r="J699" s="1" t="e">
        <f>SUMIF('[1]Map_Meso-Ox'!$C:$C,A699,'[1]Map_Meso-Ox'!$D:$D)</f>
        <v>#VALUE!</v>
      </c>
      <c r="K699" s="2" t="e">
        <f t="shared" si="22"/>
        <v>#VALUE!</v>
      </c>
      <c r="L699" s="1" t="e">
        <f>SUMIF('[1]Map_Meso-Ox'!$C:$C,A699,'[1]Map_Meso-Ox'!$E:$E)</f>
        <v>#VALUE!</v>
      </c>
      <c r="M699" s="2" t="e">
        <f t="shared" si="23"/>
        <v>#VALUE!</v>
      </c>
    </row>
    <row r="700" spans="1:13" x14ac:dyDescent="0.25">
      <c r="A700">
        <v>39</v>
      </c>
      <c r="B700">
        <v>3</v>
      </c>
      <c r="C700">
        <v>32.448</v>
      </c>
      <c r="D700">
        <v>5.5999999999999999E-3</v>
      </c>
      <c r="E700" t="s">
        <v>19</v>
      </c>
      <c r="F700">
        <v>1</v>
      </c>
      <c r="G700">
        <f>COUNTIF(E:E,E700)</f>
        <v>110</v>
      </c>
      <c r="H700">
        <f>COUNTIFS(E:E,E700,A:A,A700,D:D,D700)</f>
        <v>1</v>
      </c>
      <c r="I700" t="e">
        <f>SUMIF([1]Mapeamento!$J:$J,A700,[1]Mapeamento!$L:$L)</f>
        <v>#VALUE!</v>
      </c>
      <c r="J700" s="1" t="e">
        <f>SUMIF('[1]Map_Meso-Ox'!$C:$C,A700,'[1]Map_Meso-Ox'!$D:$D)</f>
        <v>#VALUE!</v>
      </c>
      <c r="K700" s="2" t="e">
        <f t="shared" si="22"/>
        <v>#VALUE!</v>
      </c>
      <c r="L700" s="1" t="e">
        <f>SUMIF('[1]Map_Meso-Ox'!$C:$C,A700,'[1]Map_Meso-Ox'!$E:$E)</f>
        <v>#VALUE!</v>
      </c>
      <c r="M700" s="2" t="e">
        <f t="shared" si="23"/>
        <v>#VALUE!</v>
      </c>
    </row>
    <row r="701" spans="1:13" x14ac:dyDescent="0.25">
      <c r="A701">
        <v>40</v>
      </c>
      <c r="B701">
        <v>3</v>
      </c>
      <c r="C701">
        <v>51.253999999999998</v>
      </c>
      <c r="D701">
        <v>0</v>
      </c>
      <c r="E701" t="s">
        <v>19</v>
      </c>
      <c r="F701">
        <v>1</v>
      </c>
      <c r="G701">
        <f>COUNTIF(E:E,E701)</f>
        <v>110</v>
      </c>
      <c r="H701">
        <f>COUNTIFS(E:E,E701,A:A,A701,D:D,D701)</f>
        <v>1</v>
      </c>
      <c r="I701" t="e">
        <f>SUMIF([1]Mapeamento!$J:$J,A701,[1]Mapeamento!$L:$L)</f>
        <v>#VALUE!</v>
      </c>
      <c r="J701" s="1" t="e">
        <f>SUMIF('[1]Map_Meso-Ox'!$C:$C,A701,'[1]Map_Meso-Ox'!$D:$D)</f>
        <v>#VALUE!</v>
      </c>
      <c r="K701" s="2" t="e">
        <f t="shared" si="22"/>
        <v>#VALUE!</v>
      </c>
      <c r="L701" s="1" t="e">
        <f>SUMIF('[1]Map_Meso-Ox'!$C:$C,A701,'[1]Map_Meso-Ox'!$E:$E)</f>
        <v>#VALUE!</v>
      </c>
      <c r="M701" s="2" t="e">
        <f t="shared" si="23"/>
        <v>#VALUE!</v>
      </c>
    </row>
    <row r="702" spans="1:13" x14ac:dyDescent="0.25">
      <c r="A702">
        <v>41</v>
      </c>
      <c r="B702">
        <v>3</v>
      </c>
      <c r="C702">
        <v>65.375</v>
      </c>
      <c r="D702">
        <v>0</v>
      </c>
      <c r="E702" t="s">
        <v>19</v>
      </c>
      <c r="F702">
        <v>1</v>
      </c>
      <c r="G702">
        <f>COUNTIF(E:E,E702)</f>
        <v>110</v>
      </c>
      <c r="H702">
        <f>COUNTIFS(E:E,E702,A:A,A702,D:D,D702)</f>
        <v>1</v>
      </c>
      <c r="I702" t="e">
        <f>SUMIF([1]Mapeamento!$J:$J,A702,[1]Mapeamento!$L:$L)</f>
        <v>#VALUE!</v>
      </c>
      <c r="J702" s="1" t="e">
        <f>SUMIF('[1]Map_Meso-Ox'!$C:$C,A702,'[1]Map_Meso-Ox'!$D:$D)</f>
        <v>#VALUE!</v>
      </c>
      <c r="K702" s="2" t="e">
        <f t="shared" si="22"/>
        <v>#VALUE!</v>
      </c>
      <c r="L702" s="1" t="e">
        <f>SUMIF('[1]Map_Meso-Ox'!$C:$C,A702,'[1]Map_Meso-Ox'!$E:$E)</f>
        <v>#VALUE!</v>
      </c>
      <c r="M702" s="2" t="e">
        <f t="shared" si="23"/>
        <v>#VALUE!</v>
      </c>
    </row>
    <row r="703" spans="1:13" x14ac:dyDescent="0.25">
      <c r="A703">
        <v>42</v>
      </c>
      <c r="B703">
        <v>3</v>
      </c>
      <c r="C703">
        <v>33.308</v>
      </c>
      <c r="D703">
        <v>4.3E-3</v>
      </c>
      <c r="E703" t="s">
        <v>19</v>
      </c>
      <c r="F703">
        <v>0</v>
      </c>
      <c r="G703">
        <f>COUNTIF(E:E,E703)</f>
        <v>110</v>
      </c>
      <c r="H703">
        <f>COUNTIFS(E:E,E703,A:A,A703,D:D,D703)</f>
        <v>1</v>
      </c>
      <c r="I703" t="e">
        <f>SUMIF([1]Mapeamento!$J:$J,A703,[1]Mapeamento!$L:$L)</f>
        <v>#VALUE!</v>
      </c>
      <c r="J703" s="1" t="e">
        <f>SUMIF('[1]Map_Meso-Ox'!$C:$C,A703,'[1]Map_Meso-Ox'!$D:$D)</f>
        <v>#VALUE!</v>
      </c>
      <c r="K703" s="2" t="e">
        <f t="shared" si="22"/>
        <v>#VALUE!</v>
      </c>
      <c r="L703" s="1" t="e">
        <f>SUMIF('[1]Map_Meso-Ox'!$C:$C,A703,'[1]Map_Meso-Ox'!$E:$E)</f>
        <v>#VALUE!</v>
      </c>
      <c r="M703" s="2" t="e">
        <f t="shared" si="23"/>
        <v>#VALUE!</v>
      </c>
    </row>
    <row r="704" spans="1:13" x14ac:dyDescent="0.25">
      <c r="A704">
        <v>43</v>
      </c>
      <c r="B704">
        <v>3</v>
      </c>
      <c r="C704">
        <v>22.510999999999999</v>
      </c>
      <c r="D704">
        <v>9.5100000000000004E-2</v>
      </c>
      <c r="E704" t="s">
        <v>19</v>
      </c>
      <c r="F704">
        <v>0</v>
      </c>
      <c r="G704">
        <f>COUNTIF(E:E,E704)</f>
        <v>110</v>
      </c>
      <c r="H704">
        <f>COUNTIFS(E:E,E704,A:A,A704,D:D,D704)</f>
        <v>1</v>
      </c>
      <c r="I704" t="e">
        <f>SUMIF([1]Mapeamento!$J:$J,A704,[1]Mapeamento!$L:$L)</f>
        <v>#VALUE!</v>
      </c>
      <c r="J704" s="1" t="e">
        <f>SUMIF('[1]Map_Meso-Ox'!$C:$C,A704,'[1]Map_Meso-Ox'!$D:$D)</f>
        <v>#VALUE!</v>
      </c>
      <c r="K704" s="2" t="e">
        <f t="shared" si="22"/>
        <v>#VALUE!</v>
      </c>
      <c r="L704" s="1" t="e">
        <f>SUMIF('[1]Map_Meso-Ox'!$C:$C,A704,'[1]Map_Meso-Ox'!$E:$E)</f>
        <v>#VALUE!</v>
      </c>
      <c r="M704" s="2" t="e">
        <f t="shared" si="23"/>
        <v>#VALUE!</v>
      </c>
    </row>
    <row r="705" spans="1:13" x14ac:dyDescent="0.25">
      <c r="A705">
        <v>44</v>
      </c>
      <c r="B705">
        <v>3</v>
      </c>
      <c r="C705">
        <v>29.286000000000001</v>
      </c>
      <c r="D705">
        <v>1.4800000000000001E-2</v>
      </c>
      <c r="E705" t="s">
        <v>19</v>
      </c>
      <c r="F705">
        <v>0</v>
      </c>
      <c r="G705">
        <f>COUNTIF(E:E,E705)</f>
        <v>110</v>
      </c>
      <c r="H705">
        <f>COUNTIFS(E:E,E705,A:A,A705,D:D,D705)</f>
        <v>1</v>
      </c>
      <c r="I705" t="e">
        <f>SUMIF([1]Mapeamento!$J:$J,A705,[1]Mapeamento!$L:$L)</f>
        <v>#VALUE!</v>
      </c>
      <c r="J705" s="1" t="e">
        <f>SUMIF('[1]Map_Meso-Ox'!$C:$C,A705,'[1]Map_Meso-Ox'!$D:$D)</f>
        <v>#VALUE!</v>
      </c>
      <c r="K705" s="2" t="e">
        <f t="shared" si="22"/>
        <v>#VALUE!</v>
      </c>
      <c r="L705" s="1" t="e">
        <f>SUMIF('[1]Map_Meso-Ox'!$C:$C,A705,'[1]Map_Meso-Ox'!$E:$E)</f>
        <v>#VALUE!</v>
      </c>
      <c r="M705" s="2" t="e">
        <f t="shared" si="23"/>
        <v>#VALUE!</v>
      </c>
    </row>
    <row r="706" spans="1:13" x14ac:dyDescent="0.25">
      <c r="A706">
        <v>45</v>
      </c>
      <c r="B706">
        <v>3</v>
      </c>
      <c r="C706">
        <v>59.155000000000001</v>
      </c>
      <c r="D706">
        <v>0</v>
      </c>
      <c r="E706" t="s">
        <v>19</v>
      </c>
      <c r="F706">
        <v>2</v>
      </c>
      <c r="G706">
        <f>COUNTIF(E:E,E706)</f>
        <v>110</v>
      </c>
      <c r="H706">
        <f>COUNTIFS(E:E,E706,A:A,A706,D:D,D706)</f>
        <v>1</v>
      </c>
      <c r="I706" t="e">
        <f>SUMIF([1]Mapeamento!$J:$J,A706,[1]Mapeamento!$L:$L)</f>
        <v>#VALUE!</v>
      </c>
      <c r="J706" s="1" t="e">
        <f>SUMIF('[1]Map_Meso-Ox'!$C:$C,A706,'[1]Map_Meso-Ox'!$D:$D)</f>
        <v>#VALUE!</v>
      </c>
      <c r="K706" s="2" t="e">
        <f t="shared" si="22"/>
        <v>#VALUE!</v>
      </c>
      <c r="L706" s="1" t="e">
        <f>SUMIF('[1]Map_Meso-Ox'!$C:$C,A706,'[1]Map_Meso-Ox'!$E:$E)</f>
        <v>#VALUE!</v>
      </c>
      <c r="M706" s="2" t="e">
        <f t="shared" si="23"/>
        <v>#VALUE!</v>
      </c>
    </row>
    <row r="707" spans="1:13" x14ac:dyDescent="0.25">
      <c r="A707">
        <v>46</v>
      </c>
      <c r="B707">
        <v>3</v>
      </c>
      <c r="C707">
        <v>55.137</v>
      </c>
      <c r="D707">
        <v>0</v>
      </c>
      <c r="E707" t="s">
        <v>19</v>
      </c>
      <c r="F707">
        <v>0</v>
      </c>
      <c r="G707">
        <f>COUNTIF(E:E,E707)</f>
        <v>110</v>
      </c>
      <c r="H707">
        <f>COUNTIFS(E:E,E707,A:A,A707,D:D,D707)</f>
        <v>1</v>
      </c>
      <c r="I707" t="e">
        <f>SUMIF([1]Mapeamento!$J:$J,A707,[1]Mapeamento!$L:$L)</f>
        <v>#VALUE!</v>
      </c>
      <c r="J707" s="1" t="e">
        <f>SUMIF('[1]Map_Meso-Ox'!$C:$C,A707,'[1]Map_Meso-Ox'!$D:$D)</f>
        <v>#VALUE!</v>
      </c>
      <c r="K707" s="2" t="e">
        <f t="shared" si="22"/>
        <v>#VALUE!</v>
      </c>
      <c r="L707" s="1" t="e">
        <f>SUMIF('[1]Map_Meso-Ox'!$C:$C,A707,'[1]Map_Meso-Ox'!$E:$E)</f>
        <v>#VALUE!</v>
      </c>
      <c r="M707" s="2" t="e">
        <f t="shared" si="23"/>
        <v>#VALUE!</v>
      </c>
    </row>
    <row r="708" spans="1:13" x14ac:dyDescent="0.25">
      <c r="A708">
        <v>47</v>
      </c>
      <c r="B708">
        <v>3</v>
      </c>
      <c r="C708">
        <v>40.167999999999999</v>
      </c>
      <c r="D708">
        <v>4.0000000000000002E-4</v>
      </c>
      <c r="E708" t="s">
        <v>19</v>
      </c>
      <c r="F708">
        <v>0</v>
      </c>
      <c r="G708">
        <f>COUNTIF(E:E,E708)</f>
        <v>110</v>
      </c>
      <c r="H708">
        <f>COUNTIFS(E:E,E708,A:A,A708,D:D,D708)</f>
        <v>1</v>
      </c>
      <c r="I708" t="e">
        <f>SUMIF([1]Mapeamento!$J:$J,A708,[1]Mapeamento!$L:$L)</f>
        <v>#VALUE!</v>
      </c>
      <c r="J708" s="1" t="e">
        <f>SUMIF('[1]Map_Meso-Ox'!$C:$C,A708,'[1]Map_Meso-Ox'!$D:$D)</f>
        <v>#VALUE!</v>
      </c>
      <c r="K708" s="2" t="e">
        <f t="shared" si="22"/>
        <v>#VALUE!</v>
      </c>
      <c r="L708" s="1" t="e">
        <f>SUMIF('[1]Map_Meso-Ox'!$C:$C,A708,'[1]Map_Meso-Ox'!$E:$E)</f>
        <v>#VALUE!</v>
      </c>
      <c r="M708" s="2" t="e">
        <f t="shared" si="23"/>
        <v>#VALUE!</v>
      </c>
    </row>
    <row r="709" spans="1:13" x14ac:dyDescent="0.25">
      <c r="A709">
        <v>48</v>
      </c>
      <c r="B709">
        <v>3</v>
      </c>
      <c r="C709">
        <v>42.095999999999997</v>
      </c>
      <c r="D709">
        <v>2.0000000000000001E-4</v>
      </c>
      <c r="E709" t="s">
        <v>19</v>
      </c>
      <c r="F709">
        <v>0</v>
      </c>
      <c r="G709">
        <f>COUNTIF(E:E,E709)</f>
        <v>110</v>
      </c>
      <c r="H709">
        <f>COUNTIFS(E:E,E709,A:A,A709,D:D,D709)</f>
        <v>1</v>
      </c>
      <c r="I709" t="e">
        <f>SUMIF([1]Mapeamento!$J:$J,A709,[1]Mapeamento!$L:$L)</f>
        <v>#VALUE!</v>
      </c>
      <c r="J709" s="1" t="e">
        <f>SUMIF('[1]Map_Meso-Ox'!$C:$C,A709,'[1]Map_Meso-Ox'!$D:$D)</f>
        <v>#VALUE!</v>
      </c>
      <c r="K709" s="2" t="e">
        <f t="shared" si="22"/>
        <v>#VALUE!</v>
      </c>
      <c r="L709" s="1" t="e">
        <f>SUMIF('[1]Map_Meso-Ox'!$C:$C,A709,'[1]Map_Meso-Ox'!$E:$E)</f>
        <v>#VALUE!</v>
      </c>
      <c r="M709" s="2" t="e">
        <f t="shared" si="23"/>
        <v>#VALUE!</v>
      </c>
    </row>
    <row r="710" spans="1:13" x14ac:dyDescent="0.25">
      <c r="A710">
        <v>49</v>
      </c>
      <c r="B710">
        <v>3</v>
      </c>
      <c r="C710">
        <v>25.209</v>
      </c>
      <c r="D710">
        <v>4.7199999999999999E-2</v>
      </c>
      <c r="E710" t="s">
        <v>19</v>
      </c>
      <c r="F710">
        <v>0</v>
      </c>
      <c r="G710">
        <f>COUNTIF(E:E,E710)</f>
        <v>110</v>
      </c>
      <c r="H710">
        <f>COUNTIFS(E:E,E710,A:A,A710,D:D,D710)</f>
        <v>1</v>
      </c>
      <c r="I710" t="e">
        <f>SUMIF([1]Mapeamento!$J:$J,A710,[1]Mapeamento!$L:$L)</f>
        <v>#VALUE!</v>
      </c>
      <c r="J710" s="1" t="e">
        <f>SUMIF('[1]Map_Meso-Ox'!$C:$C,A710,'[1]Map_Meso-Ox'!$D:$D)</f>
        <v>#VALUE!</v>
      </c>
      <c r="K710" s="2" t="e">
        <f t="shared" si="22"/>
        <v>#VALUE!</v>
      </c>
      <c r="L710" s="1" t="e">
        <f>SUMIF('[1]Map_Meso-Ox'!$C:$C,A710,'[1]Map_Meso-Ox'!$E:$E)</f>
        <v>#VALUE!</v>
      </c>
      <c r="M710" s="2" t="e">
        <f t="shared" si="23"/>
        <v>#VALUE!</v>
      </c>
    </row>
    <row r="711" spans="1:13" x14ac:dyDescent="0.25">
      <c r="A711">
        <v>50</v>
      </c>
      <c r="B711">
        <v>3</v>
      </c>
      <c r="C711">
        <v>35.064</v>
      </c>
      <c r="D711">
        <v>2.3999999999999998E-3</v>
      </c>
      <c r="E711" t="s">
        <v>19</v>
      </c>
      <c r="F711">
        <v>0</v>
      </c>
      <c r="G711">
        <f>COUNTIF(E:E,E711)</f>
        <v>110</v>
      </c>
      <c r="H711">
        <f>COUNTIFS(E:E,E711,A:A,A711,D:D,D711)</f>
        <v>1</v>
      </c>
      <c r="I711" t="e">
        <f>SUMIF([1]Mapeamento!$J:$J,A711,[1]Mapeamento!$L:$L)</f>
        <v>#VALUE!</v>
      </c>
      <c r="J711" s="1" t="e">
        <f>SUMIF('[1]Map_Meso-Ox'!$C:$C,A711,'[1]Map_Meso-Ox'!$D:$D)</f>
        <v>#VALUE!</v>
      </c>
      <c r="K711" s="2" t="e">
        <f t="shared" si="22"/>
        <v>#VALUE!</v>
      </c>
      <c r="L711" s="1" t="e">
        <f>SUMIF('[1]Map_Meso-Ox'!$C:$C,A711,'[1]Map_Meso-Ox'!$E:$E)</f>
        <v>#VALUE!</v>
      </c>
      <c r="M711" s="2" t="e">
        <f t="shared" si="23"/>
        <v>#VALUE!</v>
      </c>
    </row>
    <row r="712" spans="1:13" x14ac:dyDescent="0.25">
      <c r="A712">
        <v>51</v>
      </c>
      <c r="B712">
        <v>3</v>
      </c>
      <c r="C712">
        <v>33.29</v>
      </c>
      <c r="D712">
        <v>4.3E-3</v>
      </c>
      <c r="E712" t="s">
        <v>19</v>
      </c>
      <c r="F712">
        <v>0</v>
      </c>
      <c r="G712">
        <f>COUNTIF(E:E,E712)</f>
        <v>110</v>
      </c>
      <c r="H712">
        <f>COUNTIFS(E:E,E712,A:A,A712,D:D,D712)</f>
        <v>1</v>
      </c>
      <c r="I712" t="e">
        <f>SUMIF([1]Mapeamento!$J:$J,A712,[1]Mapeamento!$L:$L)</f>
        <v>#VALUE!</v>
      </c>
      <c r="J712" s="1" t="e">
        <f>SUMIF('[1]Map_Meso-Ox'!$C:$C,A712,'[1]Map_Meso-Ox'!$D:$D)</f>
        <v>#VALUE!</v>
      </c>
      <c r="K712" s="2" t="e">
        <f t="shared" si="22"/>
        <v>#VALUE!</v>
      </c>
      <c r="L712" s="1" t="e">
        <f>SUMIF('[1]Map_Meso-Ox'!$C:$C,A712,'[1]Map_Meso-Ox'!$E:$E)</f>
        <v>#VALUE!</v>
      </c>
      <c r="M712" s="2" t="e">
        <f t="shared" si="23"/>
        <v>#VALUE!</v>
      </c>
    </row>
    <row r="713" spans="1:13" x14ac:dyDescent="0.25">
      <c r="A713">
        <v>52</v>
      </c>
      <c r="B713">
        <v>3</v>
      </c>
      <c r="C713">
        <v>46.036999999999999</v>
      </c>
      <c r="D713">
        <v>1E-4</v>
      </c>
      <c r="E713" t="s">
        <v>19</v>
      </c>
      <c r="F713">
        <v>1</v>
      </c>
      <c r="G713">
        <f>COUNTIF(E:E,E713)</f>
        <v>110</v>
      </c>
      <c r="H713">
        <f>COUNTIFS(E:E,E713,A:A,A713,D:D,D713)</f>
        <v>1</v>
      </c>
      <c r="I713" t="e">
        <f>SUMIF([1]Mapeamento!$J:$J,A713,[1]Mapeamento!$L:$L)</f>
        <v>#VALUE!</v>
      </c>
      <c r="J713" s="1" t="e">
        <f>SUMIF('[1]Map_Meso-Ox'!$C:$C,A713,'[1]Map_Meso-Ox'!$D:$D)</f>
        <v>#VALUE!</v>
      </c>
      <c r="K713" s="2" t="e">
        <f t="shared" si="22"/>
        <v>#VALUE!</v>
      </c>
      <c r="L713" s="1" t="e">
        <f>SUMIF('[1]Map_Meso-Ox'!$C:$C,A713,'[1]Map_Meso-Ox'!$E:$E)</f>
        <v>#VALUE!</v>
      </c>
      <c r="M713" s="2" t="e">
        <f t="shared" si="23"/>
        <v>#VALUE!</v>
      </c>
    </row>
    <row r="714" spans="1:13" x14ac:dyDescent="0.25">
      <c r="A714">
        <v>53</v>
      </c>
      <c r="B714">
        <v>3</v>
      </c>
      <c r="C714">
        <v>58.435000000000002</v>
      </c>
      <c r="D714">
        <v>0</v>
      </c>
      <c r="E714" t="s">
        <v>19</v>
      </c>
      <c r="F714">
        <v>3</v>
      </c>
      <c r="G714">
        <f>COUNTIF(E:E,E714)</f>
        <v>110</v>
      </c>
      <c r="H714">
        <f>COUNTIFS(E:E,E714,A:A,A714,D:D,D714)</f>
        <v>1</v>
      </c>
      <c r="I714" t="e">
        <f>SUMIF([1]Mapeamento!$J:$J,A714,[1]Mapeamento!$L:$L)</f>
        <v>#VALUE!</v>
      </c>
      <c r="J714" s="1" t="e">
        <f>SUMIF('[1]Map_Meso-Ox'!$C:$C,A714,'[1]Map_Meso-Ox'!$D:$D)</f>
        <v>#VALUE!</v>
      </c>
      <c r="K714" s="2" t="e">
        <f t="shared" si="22"/>
        <v>#VALUE!</v>
      </c>
      <c r="L714" s="1" t="e">
        <f>SUMIF('[1]Map_Meso-Ox'!$C:$C,A714,'[1]Map_Meso-Ox'!$E:$E)</f>
        <v>#VALUE!</v>
      </c>
      <c r="M714" s="2" t="e">
        <f t="shared" si="23"/>
        <v>#VALUE!</v>
      </c>
    </row>
    <row r="715" spans="1:13" x14ac:dyDescent="0.25">
      <c r="A715">
        <v>54</v>
      </c>
      <c r="B715">
        <v>3</v>
      </c>
      <c r="C715">
        <v>37.588999999999999</v>
      </c>
      <c r="D715">
        <v>1E-3</v>
      </c>
      <c r="E715" t="s">
        <v>19</v>
      </c>
      <c r="F715">
        <v>1</v>
      </c>
      <c r="G715">
        <f>COUNTIF(E:E,E715)</f>
        <v>110</v>
      </c>
      <c r="H715">
        <f>COUNTIFS(E:E,E715,A:A,A715,D:D,D715)</f>
        <v>1</v>
      </c>
      <c r="I715" t="e">
        <f>SUMIF([1]Mapeamento!$J:$J,A715,[1]Mapeamento!$L:$L)</f>
        <v>#VALUE!</v>
      </c>
      <c r="J715" s="1" t="e">
        <f>SUMIF('[1]Map_Meso-Ox'!$C:$C,A715,'[1]Map_Meso-Ox'!$D:$D)</f>
        <v>#VALUE!</v>
      </c>
      <c r="K715" s="2" t="e">
        <f t="shared" si="22"/>
        <v>#VALUE!</v>
      </c>
      <c r="L715" s="1" t="e">
        <f>SUMIF('[1]Map_Meso-Ox'!$C:$C,A715,'[1]Map_Meso-Ox'!$E:$E)</f>
        <v>#VALUE!</v>
      </c>
      <c r="M715" s="2" t="e">
        <f t="shared" si="23"/>
        <v>#VALUE!</v>
      </c>
    </row>
    <row r="716" spans="1:13" x14ac:dyDescent="0.25">
      <c r="A716">
        <v>55</v>
      </c>
      <c r="B716">
        <v>3</v>
      </c>
      <c r="C716">
        <v>33.709000000000003</v>
      </c>
      <c r="D716">
        <v>3.7000000000000002E-3</v>
      </c>
      <c r="E716" t="s">
        <v>19</v>
      </c>
      <c r="F716">
        <v>1</v>
      </c>
      <c r="G716">
        <f>COUNTIF(E:E,E716)</f>
        <v>110</v>
      </c>
      <c r="H716">
        <f>COUNTIFS(E:E,E716,A:A,A716,D:D,D716)</f>
        <v>1</v>
      </c>
      <c r="I716" t="e">
        <f>SUMIF([1]Mapeamento!$J:$J,A716,[1]Mapeamento!$L:$L)</f>
        <v>#VALUE!</v>
      </c>
      <c r="J716" s="1" t="e">
        <f>SUMIF('[1]Map_Meso-Ox'!$C:$C,A716,'[1]Map_Meso-Ox'!$D:$D)</f>
        <v>#VALUE!</v>
      </c>
      <c r="K716" s="2" t="e">
        <f t="shared" si="22"/>
        <v>#VALUE!</v>
      </c>
      <c r="L716" s="1" t="e">
        <f>SUMIF('[1]Map_Meso-Ox'!$C:$C,A716,'[1]Map_Meso-Ox'!$E:$E)</f>
        <v>#VALUE!</v>
      </c>
      <c r="M716" s="2" t="e">
        <f t="shared" si="23"/>
        <v>#VALUE!</v>
      </c>
    </row>
    <row r="717" spans="1:13" x14ac:dyDescent="0.25">
      <c r="A717">
        <v>56</v>
      </c>
      <c r="B717">
        <v>3</v>
      </c>
      <c r="C717">
        <v>47.06</v>
      </c>
      <c r="D717">
        <v>0</v>
      </c>
      <c r="E717" t="s">
        <v>19</v>
      </c>
      <c r="F717">
        <v>1</v>
      </c>
      <c r="G717">
        <f>COUNTIF(E:E,E717)</f>
        <v>110</v>
      </c>
      <c r="H717">
        <f>COUNTIFS(E:E,E717,A:A,A717,D:D,D717)</f>
        <v>1</v>
      </c>
      <c r="I717" t="e">
        <f>SUMIF([1]Mapeamento!$J:$J,A717,[1]Mapeamento!$L:$L)</f>
        <v>#VALUE!</v>
      </c>
      <c r="J717" s="1" t="e">
        <f>SUMIF('[1]Map_Meso-Ox'!$C:$C,A717,'[1]Map_Meso-Ox'!$D:$D)</f>
        <v>#VALUE!</v>
      </c>
      <c r="K717" s="2" t="e">
        <f t="shared" si="22"/>
        <v>#VALUE!</v>
      </c>
      <c r="L717" s="1" t="e">
        <f>SUMIF('[1]Map_Meso-Ox'!$C:$C,A717,'[1]Map_Meso-Ox'!$E:$E)</f>
        <v>#VALUE!</v>
      </c>
      <c r="M717" s="2" t="e">
        <f t="shared" si="23"/>
        <v>#VALUE!</v>
      </c>
    </row>
    <row r="718" spans="1:13" x14ac:dyDescent="0.25">
      <c r="A718">
        <v>57</v>
      </c>
      <c r="B718">
        <v>3</v>
      </c>
      <c r="C718">
        <v>42.841000000000001</v>
      </c>
      <c r="D718">
        <v>2.0000000000000001E-4</v>
      </c>
      <c r="E718" t="s">
        <v>19</v>
      </c>
      <c r="F718">
        <v>0</v>
      </c>
      <c r="G718">
        <f>COUNTIF(E:E,E718)</f>
        <v>110</v>
      </c>
      <c r="H718">
        <f>COUNTIFS(E:E,E718,A:A,A718,D:D,D718)</f>
        <v>1</v>
      </c>
      <c r="I718" t="e">
        <f>SUMIF([1]Mapeamento!$J:$J,A718,[1]Mapeamento!$L:$L)</f>
        <v>#VALUE!</v>
      </c>
      <c r="J718" s="1" t="e">
        <f>SUMIF('[1]Map_Meso-Ox'!$C:$C,A718,'[1]Map_Meso-Ox'!$D:$D)</f>
        <v>#VALUE!</v>
      </c>
      <c r="K718" s="2" t="e">
        <f t="shared" si="22"/>
        <v>#VALUE!</v>
      </c>
      <c r="L718" s="1" t="e">
        <f>SUMIF('[1]Map_Meso-Ox'!$C:$C,A718,'[1]Map_Meso-Ox'!$E:$E)</f>
        <v>#VALUE!</v>
      </c>
      <c r="M718" s="2" t="e">
        <f t="shared" si="23"/>
        <v>#VALUE!</v>
      </c>
    </row>
    <row r="719" spans="1:13" x14ac:dyDescent="0.25">
      <c r="A719">
        <v>58</v>
      </c>
      <c r="B719">
        <v>3</v>
      </c>
      <c r="C719">
        <v>42.01</v>
      </c>
      <c r="D719">
        <v>2.0000000000000001E-4</v>
      </c>
      <c r="E719" t="s">
        <v>19</v>
      </c>
      <c r="F719">
        <v>1</v>
      </c>
      <c r="G719">
        <f>COUNTIF(E:E,E719)</f>
        <v>110</v>
      </c>
      <c r="H719">
        <f>COUNTIFS(E:E,E719,A:A,A719,D:D,D719)</f>
        <v>1</v>
      </c>
      <c r="I719" t="e">
        <f>SUMIF([1]Mapeamento!$J:$J,A719,[1]Mapeamento!$L:$L)</f>
        <v>#VALUE!</v>
      </c>
      <c r="J719" s="1" t="e">
        <f>SUMIF('[1]Map_Meso-Ox'!$C:$C,A719,'[1]Map_Meso-Ox'!$D:$D)</f>
        <v>#VALUE!</v>
      </c>
      <c r="K719" s="2" t="e">
        <f t="shared" si="22"/>
        <v>#VALUE!</v>
      </c>
      <c r="L719" s="1" t="e">
        <f>SUMIF('[1]Map_Meso-Ox'!$C:$C,A719,'[1]Map_Meso-Ox'!$E:$E)</f>
        <v>#VALUE!</v>
      </c>
      <c r="M719" s="2" t="e">
        <f t="shared" si="23"/>
        <v>#VALUE!</v>
      </c>
    </row>
    <row r="720" spans="1:13" x14ac:dyDescent="0.25">
      <c r="A720">
        <v>59</v>
      </c>
      <c r="B720">
        <v>3</v>
      </c>
      <c r="C720">
        <v>40.006</v>
      </c>
      <c r="D720">
        <v>5.0000000000000001E-4</v>
      </c>
      <c r="E720" t="s">
        <v>19</v>
      </c>
      <c r="F720">
        <v>1</v>
      </c>
      <c r="G720">
        <f>COUNTIF(E:E,E720)</f>
        <v>110</v>
      </c>
      <c r="H720">
        <f>COUNTIFS(E:E,E720,A:A,A720,D:D,D720)</f>
        <v>1</v>
      </c>
      <c r="I720" t="e">
        <f>SUMIF([1]Mapeamento!$J:$J,A720,[1]Mapeamento!$L:$L)</f>
        <v>#VALUE!</v>
      </c>
      <c r="J720" s="1" t="e">
        <f>SUMIF('[1]Map_Meso-Ox'!$C:$C,A720,'[1]Map_Meso-Ox'!$D:$D)</f>
        <v>#VALUE!</v>
      </c>
      <c r="K720" s="2" t="e">
        <f t="shared" si="22"/>
        <v>#VALUE!</v>
      </c>
      <c r="L720" s="1" t="e">
        <f>SUMIF('[1]Map_Meso-Ox'!$C:$C,A720,'[1]Map_Meso-Ox'!$E:$E)</f>
        <v>#VALUE!</v>
      </c>
      <c r="M720" s="2" t="e">
        <f t="shared" si="23"/>
        <v>#VALUE!</v>
      </c>
    </row>
    <row r="721" spans="1:13" x14ac:dyDescent="0.25">
      <c r="A721">
        <v>60</v>
      </c>
      <c r="B721">
        <v>3</v>
      </c>
      <c r="C721">
        <v>25.669</v>
      </c>
      <c r="D721">
        <v>4.1599999999999998E-2</v>
      </c>
      <c r="E721" t="s">
        <v>19</v>
      </c>
      <c r="F721">
        <v>1</v>
      </c>
      <c r="G721">
        <f>COUNTIF(E:E,E721)</f>
        <v>110</v>
      </c>
      <c r="H721">
        <f>COUNTIFS(E:E,E721,A:A,A721,D:D,D721)</f>
        <v>1</v>
      </c>
      <c r="I721" t="e">
        <f>SUMIF([1]Mapeamento!$J:$J,A721,[1]Mapeamento!$L:$L)</f>
        <v>#VALUE!</v>
      </c>
      <c r="J721" s="1" t="e">
        <f>SUMIF('[1]Map_Meso-Ox'!$C:$C,A721,'[1]Map_Meso-Ox'!$D:$D)</f>
        <v>#VALUE!</v>
      </c>
      <c r="K721" s="2" t="e">
        <f t="shared" si="22"/>
        <v>#VALUE!</v>
      </c>
      <c r="L721" s="1" t="e">
        <f>SUMIF('[1]Map_Meso-Ox'!$C:$C,A721,'[1]Map_Meso-Ox'!$E:$E)</f>
        <v>#VALUE!</v>
      </c>
      <c r="M721" s="2" t="e">
        <f t="shared" si="23"/>
        <v>#VALUE!</v>
      </c>
    </row>
    <row r="722" spans="1:13" x14ac:dyDescent="0.25">
      <c r="A722">
        <v>61</v>
      </c>
      <c r="B722">
        <v>3</v>
      </c>
      <c r="C722">
        <v>46.134</v>
      </c>
      <c r="D722">
        <v>1E-4</v>
      </c>
      <c r="E722" t="s">
        <v>19</v>
      </c>
      <c r="F722">
        <v>0</v>
      </c>
      <c r="G722">
        <f>COUNTIF(E:E,E722)</f>
        <v>110</v>
      </c>
      <c r="H722">
        <f>COUNTIFS(E:E,E722,A:A,A722,D:D,D722)</f>
        <v>1</v>
      </c>
      <c r="I722" t="e">
        <f>SUMIF([1]Mapeamento!$J:$J,A722,[1]Mapeamento!$L:$L)</f>
        <v>#VALUE!</v>
      </c>
      <c r="J722" s="1" t="e">
        <f>SUMIF('[1]Map_Meso-Ox'!$C:$C,A722,'[1]Map_Meso-Ox'!$D:$D)</f>
        <v>#VALUE!</v>
      </c>
      <c r="K722" s="2" t="e">
        <f t="shared" si="22"/>
        <v>#VALUE!</v>
      </c>
      <c r="L722" s="1" t="e">
        <f>SUMIF('[1]Map_Meso-Ox'!$C:$C,A722,'[1]Map_Meso-Ox'!$E:$E)</f>
        <v>#VALUE!</v>
      </c>
      <c r="M722" s="2" t="e">
        <f t="shared" si="23"/>
        <v>#VALUE!</v>
      </c>
    </row>
    <row r="723" spans="1:13" x14ac:dyDescent="0.25">
      <c r="A723">
        <v>62</v>
      </c>
      <c r="B723">
        <v>3</v>
      </c>
      <c r="C723">
        <v>63.018999999999998</v>
      </c>
      <c r="D723">
        <v>0</v>
      </c>
      <c r="E723" t="s">
        <v>19</v>
      </c>
      <c r="F723">
        <v>1</v>
      </c>
      <c r="G723">
        <f>COUNTIF(E:E,E723)</f>
        <v>110</v>
      </c>
      <c r="H723">
        <f>COUNTIFS(E:E,E723,A:A,A723,D:D,D723)</f>
        <v>1</v>
      </c>
      <c r="I723" t="e">
        <f>SUMIF([1]Mapeamento!$J:$J,A723,[1]Mapeamento!$L:$L)</f>
        <v>#VALUE!</v>
      </c>
      <c r="J723" s="1" t="e">
        <f>SUMIF('[1]Map_Meso-Ox'!$C:$C,A723,'[1]Map_Meso-Ox'!$D:$D)</f>
        <v>#VALUE!</v>
      </c>
      <c r="K723" s="2" t="e">
        <f t="shared" si="22"/>
        <v>#VALUE!</v>
      </c>
      <c r="L723" s="1" t="e">
        <f>SUMIF('[1]Map_Meso-Ox'!$C:$C,A723,'[1]Map_Meso-Ox'!$E:$E)</f>
        <v>#VALUE!</v>
      </c>
      <c r="M723" s="2" t="e">
        <f t="shared" si="23"/>
        <v>#VALUE!</v>
      </c>
    </row>
    <row r="724" spans="1:13" x14ac:dyDescent="0.25">
      <c r="A724">
        <v>63</v>
      </c>
      <c r="B724">
        <v>3</v>
      </c>
      <c r="C724">
        <v>42.154000000000003</v>
      </c>
      <c r="D724">
        <v>2.0000000000000001E-4</v>
      </c>
      <c r="E724" t="s">
        <v>19</v>
      </c>
      <c r="F724">
        <v>1</v>
      </c>
      <c r="G724">
        <f>COUNTIF(E:E,E724)</f>
        <v>110</v>
      </c>
      <c r="H724">
        <f>COUNTIFS(E:E,E724,A:A,A724,D:D,D724)</f>
        <v>1</v>
      </c>
      <c r="I724" t="e">
        <f>SUMIF([1]Mapeamento!$J:$J,A724,[1]Mapeamento!$L:$L)</f>
        <v>#VALUE!</v>
      </c>
      <c r="J724" s="1" t="e">
        <f>SUMIF('[1]Map_Meso-Ox'!$C:$C,A724,'[1]Map_Meso-Ox'!$D:$D)</f>
        <v>#VALUE!</v>
      </c>
      <c r="K724" s="2" t="e">
        <f t="shared" si="22"/>
        <v>#VALUE!</v>
      </c>
      <c r="L724" s="1" t="e">
        <f>SUMIF('[1]Map_Meso-Ox'!$C:$C,A724,'[1]Map_Meso-Ox'!$E:$E)</f>
        <v>#VALUE!</v>
      </c>
      <c r="M724" s="2" t="e">
        <f t="shared" si="23"/>
        <v>#VALUE!</v>
      </c>
    </row>
    <row r="725" spans="1:13" x14ac:dyDescent="0.25">
      <c r="A725">
        <v>64</v>
      </c>
      <c r="B725">
        <v>3</v>
      </c>
      <c r="C725">
        <v>37.164000000000001</v>
      </c>
      <c r="D725">
        <v>1.1999999999999999E-3</v>
      </c>
      <c r="E725" t="s">
        <v>19</v>
      </c>
      <c r="F725">
        <v>0</v>
      </c>
      <c r="G725">
        <f>COUNTIF(E:E,E725)</f>
        <v>110</v>
      </c>
      <c r="H725">
        <f>COUNTIFS(E:E,E725,A:A,A725,D:D,D725)</f>
        <v>1</v>
      </c>
      <c r="I725" t="e">
        <f>SUMIF([1]Mapeamento!$J:$J,A725,[1]Mapeamento!$L:$L)</f>
        <v>#VALUE!</v>
      </c>
      <c r="J725" s="1" t="e">
        <f>SUMIF('[1]Map_Meso-Ox'!$C:$C,A725,'[1]Map_Meso-Ox'!$D:$D)</f>
        <v>#VALUE!</v>
      </c>
      <c r="K725" s="2" t="e">
        <f t="shared" si="22"/>
        <v>#VALUE!</v>
      </c>
      <c r="L725" s="1" t="e">
        <f>SUMIF('[1]Map_Meso-Ox'!$C:$C,A725,'[1]Map_Meso-Ox'!$E:$E)</f>
        <v>#VALUE!</v>
      </c>
      <c r="M725" s="2" t="e">
        <f t="shared" si="23"/>
        <v>#VALUE!</v>
      </c>
    </row>
    <row r="726" spans="1:13" x14ac:dyDescent="0.25">
      <c r="A726">
        <v>65</v>
      </c>
      <c r="B726">
        <v>3</v>
      </c>
      <c r="C726">
        <v>49.823999999999998</v>
      </c>
      <c r="D726">
        <v>0</v>
      </c>
      <c r="E726" t="s">
        <v>19</v>
      </c>
      <c r="F726">
        <v>2</v>
      </c>
      <c r="G726">
        <f>COUNTIF(E:E,E726)</f>
        <v>110</v>
      </c>
      <c r="H726">
        <f>COUNTIFS(E:E,E726,A:A,A726,D:D,D726)</f>
        <v>1</v>
      </c>
      <c r="I726" t="e">
        <f>SUMIF([1]Mapeamento!$J:$J,A726,[1]Mapeamento!$L:$L)</f>
        <v>#VALUE!</v>
      </c>
      <c r="J726" s="1" t="e">
        <f>SUMIF('[1]Map_Meso-Ox'!$C:$C,A726,'[1]Map_Meso-Ox'!$D:$D)</f>
        <v>#VALUE!</v>
      </c>
      <c r="K726" s="2" t="e">
        <f t="shared" si="22"/>
        <v>#VALUE!</v>
      </c>
      <c r="L726" s="1" t="e">
        <f>SUMIF('[1]Map_Meso-Ox'!$C:$C,A726,'[1]Map_Meso-Ox'!$E:$E)</f>
        <v>#VALUE!</v>
      </c>
      <c r="M726" s="2" t="e">
        <f t="shared" si="23"/>
        <v>#VALUE!</v>
      </c>
    </row>
    <row r="727" spans="1:13" x14ac:dyDescent="0.25">
      <c r="A727">
        <v>66</v>
      </c>
      <c r="B727">
        <v>3</v>
      </c>
      <c r="C727">
        <v>31.835000000000001</v>
      </c>
      <c r="D727">
        <v>6.7999999999999996E-3</v>
      </c>
      <c r="E727" t="s">
        <v>19</v>
      </c>
      <c r="F727">
        <v>1</v>
      </c>
      <c r="G727">
        <f>COUNTIF(E:E,E727)</f>
        <v>110</v>
      </c>
      <c r="H727">
        <f>COUNTIFS(E:E,E727,A:A,A727,D:D,D727)</f>
        <v>1</v>
      </c>
      <c r="I727" t="e">
        <f>SUMIF([1]Mapeamento!$J:$J,A727,[1]Mapeamento!$L:$L)</f>
        <v>#VALUE!</v>
      </c>
      <c r="J727" s="1" t="e">
        <f>SUMIF('[1]Map_Meso-Ox'!$C:$C,A727,'[1]Map_Meso-Ox'!$D:$D)</f>
        <v>#VALUE!</v>
      </c>
      <c r="K727" s="2" t="e">
        <f t="shared" si="22"/>
        <v>#VALUE!</v>
      </c>
      <c r="L727" s="1" t="e">
        <f>SUMIF('[1]Map_Meso-Ox'!$C:$C,A727,'[1]Map_Meso-Ox'!$E:$E)</f>
        <v>#VALUE!</v>
      </c>
      <c r="M727" s="2" t="e">
        <f t="shared" si="23"/>
        <v>#VALUE!</v>
      </c>
    </row>
    <row r="728" spans="1:13" x14ac:dyDescent="0.25">
      <c r="A728">
        <v>67</v>
      </c>
      <c r="B728">
        <v>3</v>
      </c>
      <c r="C728">
        <v>50.261000000000003</v>
      </c>
      <c r="D728">
        <v>0</v>
      </c>
      <c r="E728" t="s">
        <v>19</v>
      </c>
      <c r="F728">
        <v>1</v>
      </c>
      <c r="G728">
        <f>COUNTIF(E:E,E728)</f>
        <v>110</v>
      </c>
      <c r="H728">
        <f>COUNTIFS(E:E,E728,A:A,A728,D:D,D728)</f>
        <v>1</v>
      </c>
      <c r="I728" t="e">
        <f>SUMIF([1]Mapeamento!$J:$J,A728,[1]Mapeamento!$L:$L)</f>
        <v>#VALUE!</v>
      </c>
      <c r="J728" s="1" t="e">
        <f>SUMIF('[1]Map_Meso-Ox'!$C:$C,A728,'[1]Map_Meso-Ox'!$D:$D)</f>
        <v>#VALUE!</v>
      </c>
      <c r="K728" s="2" t="e">
        <f t="shared" si="22"/>
        <v>#VALUE!</v>
      </c>
      <c r="L728" s="1" t="e">
        <f>SUMIF('[1]Map_Meso-Ox'!$C:$C,A728,'[1]Map_Meso-Ox'!$E:$E)</f>
        <v>#VALUE!</v>
      </c>
      <c r="M728" s="2" t="e">
        <f t="shared" si="23"/>
        <v>#VALUE!</v>
      </c>
    </row>
    <row r="729" spans="1:13" x14ac:dyDescent="0.25">
      <c r="A729">
        <v>68</v>
      </c>
      <c r="B729">
        <v>3</v>
      </c>
      <c r="C729">
        <v>57.465000000000003</v>
      </c>
      <c r="D729">
        <v>0</v>
      </c>
      <c r="E729" t="s">
        <v>19</v>
      </c>
      <c r="F729">
        <v>3</v>
      </c>
      <c r="G729">
        <f>COUNTIF(E:E,E729)</f>
        <v>110</v>
      </c>
      <c r="H729">
        <f>COUNTIFS(E:E,E729,A:A,A729,D:D,D729)</f>
        <v>1</v>
      </c>
      <c r="I729" t="e">
        <f>SUMIF([1]Mapeamento!$J:$J,A729,[1]Mapeamento!$L:$L)</f>
        <v>#VALUE!</v>
      </c>
      <c r="J729" s="1" t="e">
        <f>SUMIF('[1]Map_Meso-Ox'!$C:$C,A729,'[1]Map_Meso-Ox'!$D:$D)</f>
        <v>#VALUE!</v>
      </c>
      <c r="K729" s="2" t="e">
        <f t="shared" si="22"/>
        <v>#VALUE!</v>
      </c>
      <c r="L729" s="1" t="e">
        <f>SUMIF('[1]Map_Meso-Ox'!$C:$C,A729,'[1]Map_Meso-Ox'!$E:$E)</f>
        <v>#VALUE!</v>
      </c>
      <c r="M729" s="2" t="e">
        <f t="shared" si="23"/>
        <v>#VALUE!</v>
      </c>
    </row>
    <row r="730" spans="1:13" x14ac:dyDescent="0.25">
      <c r="A730">
        <v>69</v>
      </c>
      <c r="B730">
        <v>3</v>
      </c>
      <c r="C730">
        <v>34.999000000000002</v>
      </c>
      <c r="D730">
        <v>2.5000000000000001E-3</v>
      </c>
      <c r="E730" t="s">
        <v>19</v>
      </c>
      <c r="F730">
        <v>0</v>
      </c>
      <c r="G730">
        <f>COUNTIF(E:E,E730)</f>
        <v>110</v>
      </c>
      <c r="H730">
        <f>COUNTIFS(E:E,E730,A:A,A730,D:D,D730)</f>
        <v>1</v>
      </c>
      <c r="I730" t="e">
        <f>SUMIF([1]Mapeamento!$J:$J,A730,[1]Mapeamento!$L:$L)</f>
        <v>#VALUE!</v>
      </c>
      <c r="J730" s="1" t="e">
        <f>SUMIF('[1]Map_Meso-Ox'!$C:$C,A730,'[1]Map_Meso-Ox'!$D:$D)</f>
        <v>#VALUE!</v>
      </c>
      <c r="K730" s="2" t="e">
        <f t="shared" si="22"/>
        <v>#VALUE!</v>
      </c>
      <c r="L730" s="1" t="e">
        <f>SUMIF('[1]Map_Meso-Ox'!$C:$C,A730,'[1]Map_Meso-Ox'!$E:$E)</f>
        <v>#VALUE!</v>
      </c>
      <c r="M730" s="2" t="e">
        <f t="shared" si="23"/>
        <v>#VALUE!</v>
      </c>
    </row>
    <row r="731" spans="1:13" x14ac:dyDescent="0.25">
      <c r="A731">
        <v>70</v>
      </c>
      <c r="B731">
        <v>3</v>
      </c>
      <c r="C731">
        <v>39.374000000000002</v>
      </c>
      <c r="D731">
        <v>5.9999999999999995E-4</v>
      </c>
      <c r="E731" t="s">
        <v>19</v>
      </c>
      <c r="F731">
        <v>1</v>
      </c>
      <c r="G731">
        <f>COUNTIF(E:E,E731)</f>
        <v>110</v>
      </c>
      <c r="H731">
        <f>COUNTIFS(E:E,E731,A:A,A731,D:D,D731)</f>
        <v>1</v>
      </c>
      <c r="I731" t="e">
        <f>SUMIF([1]Mapeamento!$J:$J,A731,[1]Mapeamento!$L:$L)</f>
        <v>#VALUE!</v>
      </c>
      <c r="J731" s="1" t="e">
        <f>SUMIF('[1]Map_Meso-Ox'!$C:$C,A731,'[1]Map_Meso-Ox'!$D:$D)</f>
        <v>#VALUE!</v>
      </c>
      <c r="K731" s="2" t="e">
        <f t="shared" si="22"/>
        <v>#VALUE!</v>
      </c>
      <c r="L731" s="1" t="e">
        <f>SUMIF('[1]Map_Meso-Ox'!$C:$C,A731,'[1]Map_Meso-Ox'!$E:$E)</f>
        <v>#VALUE!</v>
      </c>
      <c r="M731" s="2" t="e">
        <f t="shared" si="23"/>
        <v>#VALUE!</v>
      </c>
    </row>
    <row r="732" spans="1:13" x14ac:dyDescent="0.25">
      <c r="A732">
        <v>71</v>
      </c>
      <c r="B732">
        <v>3</v>
      </c>
      <c r="C732">
        <v>28.965</v>
      </c>
      <c r="D732">
        <v>1.6299999999999999E-2</v>
      </c>
      <c r="E732" t="s">
        <v>19</v>
      </c>
      <c r="F732">
        <v>2</v>
      </c>
      <c r="G732">
        <f>COUNTIF(E:E,E732)</f>
        <v>110</v>
      </c>
      <c r="H732">
        <f>COUNTIFS(E:E,E732,A:A,A732,D:D,D732)</f>
        <v>1</v>
      </c>
      <c r="I732" t="e">
        <f>SUMIF([1]Mapeamento!$J:$J,A732,[1]Mapeamento!$L:$L)</f>
        <v>#VALUE!</v>
      </c>
      <c r="J732" s="1" t="e">
        <f>SUMIF('[1]Map_Meso-Ox'!$C:$C,A732,'[1]Map_Meso-Ox'!$D:$D)</f>
        <v>#VALUE!</v>
      </c>
      <c r="K732" s="2" t="e">
        <f t="shared" si="22"/>
        <v>#VALUE!</v>
      </c>
      <c r="L732" s="1" t="e">
        <f>SUMIF('[1]Map_Meso-Ox'!$C:$C,A732,'[1]Map_Meso-Ox'!$E:$E)</f>
        <v>#VALUE!</v>
      </c>
      <c r="M732" s="2" t="e">
        <f t="shared" si="23"/>
        <v>#VALUE!</v>
      </c>
    </row>
    <row r="733" spans="1:13" x14ac:dyDescent="0.25">
      <c r="A733">
        <v>72</v>
      </c>
      <c r="B733">
        <v>3</v>
      </c>
      <c r="C733">
        <v>41.219000000000001</v>
      </c>
      <c r="D733">
        <v>2.9999999999999997E-4</v>
      </c>
      <c r="E733" t="s">
        <v>19</v>
      </c>
      <c r="F733">
        <v>1</v>
      </c>
      <c r="G733">
        <f>COUNTIF(E:E,E733)</f>
        <v>110</v>
      </c>
      <c r="H733">
        <f>COUNTIFS(E:E,E733,A:A,A733,D:D,D733)</f>
        <v>1</v>
      </c>
      <c r="I733" t="e">
        <f>SUMIF([1]Mapeamento!$J:$J,A733,[1]Mapeamento!$L:$L)</f>
        <v>#VALUE!</v>
      </c>
      <c r="J733" s="1" t="e">
        <f>SUMIF('[1]Map_Meso-Ox'!$C:$C,A733,'[1]Map_Meso-Ox'!$D:$D)</f>
        <v>#VALUE!</v>
      </c>
      <c r="K733" s="2" t="e">
        <f t="shared" si="22"/>
        <v>#VALUE!</v>
      </c>
      <c r="L733" s="1" t="e">
        <f>SUMIF('[1]Map_Meso-Ox'!$C:$C,A733,'[1]Map_Meso-Ox'!$E:$E)</f>
        <v>#VALUE!</v>
      </c>
      <c r="M733" s="2" t="e">
        <f t="shared" si="23"/>
        <v>#VALUE!</v>
      </c>
    </row>
    <row r="734" spans="1:13" x14ac:dyDescent="0.25">
      <c r="A734">
        <v>73</v>
      </c>
      <c r="B734">
        <v>3</v>
      </c>
      <c r="C734">
        <v>57.593000000000004</v>
      </c>
      <c r="D734">
        <v>0</v>
      </c>
      <c r="E734" t="s">
        <v>19</v>
      </c>
      <c r="F734">
        <v>2</v>
      </c>
      <c r="G734">
        <f>COUNTIF(E:E,E734)</f>
        <v>110</v>
      </c>
      <c r="H734">
        <f>COUNTIFS(E:E,E734,A:A,A734,D:D,D734)</f>
        <v>1</v>
      </c>
      <c r="I734" t="e">
        <f>SUMIF([1]Mapeamento!$J:$J,A734,[1]Mapeamento!$L:$L)</f>
        <v>#VALUE!</v>
      </c>
      <c r="J734" s="1" t="e">
        <f>SUMIF('[1]Map_Meso-Ox'!$C:$C,A734,'[1]Map_Meso-Ox'!$D:$D)</f>
        <v>#VALUE!</v>
      </c>
      <c r="K734" s="2" t="e">
        <f t="shared" si="22"/>
        <v>#VALUE!</v>
      </c>
      <c r="L734" s="1" t="e">
        <f>SUMIF('[1]Map_Meso-Ox'!$C:$C,A734,'[1]Map_Meso-Ox'!$E:$E)</f>
        <v>#VALUE!</v>
      </c>
      <c r="M734" s="2" t="e">
        <f t="shared" si="23"/>
        <v>#VALUE!</v>
      </c>
    </row>
    <row r="735" spans="1:13" x14ac:dyDescent="0.25">
      <c r="A735">
        <v>74</v>
      </c>
      <c r="B735">
        <v>3</v>
      </c>
      <c r="C735">
        <v>22.603000000000002</v>
      </c>
      <c r="D735">
        <v>9.2899999999999996E-2</v>
      </c>
      <c r="E735" t="s">
        <v>19</v>
      </c>
      <c r="F735">
        <v>0</v>
      </c>
      <c r="G735">
        <f>COUNTIF(E:E,E735)</f>
        <v>110</v>
      </c>
      <c r="H735">
        <f>COUNTIFS(E:E,E735,A:A,A735,D:D,D735)</f>
        <v>1</v>
      </c>
      <c r="I735" t="e">
        <f>SUMIF([1]Mapeamento!$J:$J,A735,[1]Mapeamento!$L:$L)</f>
        <v>#VALUE!</v>
      </c>
      <c r="J735" s="1" t="e">
        <f>SUMIF('[1]Map_Meso-Ox'!$C:$C,A735,'[1]Map_Meso-Ox'!$D:$D)</f>
        <v>#VALUE!</v>
      </c>
      <c r="K735" s="2" t="e">
        <f t="shared" si="22"/>
        <v>#VALUE!</v>
      </c>
      <c r="L735" s="1" t="e">
        <f>SUMIF('[1]Map_Meso-Ox'!$C:$C,A735,'[1]Map_Meso-Ox'!$E:$E)</f>
        <v>#VALUE!</v>
      </c>
      <c r="M735" s="2" t="e">
        <f t="shared" si="23"/>
        <v>#VALUE!</v>
      </c>
    </row>
    <row r="736" spans="1:13" x14ac:dyDescent="0.25">
      <c r="A736">
        <v>75</v>
      </c>
      <c r="B736">
        <v>3</v>
      </c>
      <c r="C736">
        <v>46.978999999999999</v>
      </c>
      <c r="D736">
        <v>0</v>
      </c>
      <c r="E736" t="s">
        <v>19</v>
      </c>
      <c r="F736">
        <v>1</v>
      </c>
      <c r="G736">
        <f>COUNTIF(E:E,E736)</f>
        <v>110</v>
      </c>
      <c r="H736">
        <f>COUNTIFS(E:E,E736,A:A,A736,D:D,D736)</f>
        <v>1</v>
      </c>
      <c r="I736" t="e">
        <f>SUMIF([1]Mapeamento!$J:$J,A736,[1]Mapeamento!$L:$L)</f>
        <v>#VALUE!</v>
      </c>
      <c r="J736" s="1" t="e">
        <f>SUMIF('[1]Map_Meso-Ox'!$C:$C,A736,'[1]Map_Meso-Ox'!$D:$D)</f>
        <v>#VALUE!</v>
      </c>
      <c r="K736" s="2" t="e">
        <f t="shared" si="22"/>
        <v>#VALUE!</v>
      </c>
      <c r="L736" s="1" t="e">
        <f>SUMIF('[1]Map_Meso-Ox'!$C:$C,A736,'[1]Map_Meso-Ox'!$E:$E)</f>
        <v>#VALUE!</v>
      </c>
      <c r="M736" s="2" t="e">
        <f t="shared" si="23"/>
        <v>#VALUE!</v>
      </c>
    </row>
    <row r="737" spans="1:13" x14ac:dyDescent="0.25">
      <c r="A737">
        <v>76</v>
      </c>
      <c r="B737">
        <v>3</v>
      </c>
      <c r="C737">
        <v>57.134999999999998</v>
      </c>
      <c r="D737">
        <v>0</v>
      </c>
      <c r="E737" t="s">
        <v>19</v>
      </c>
      <c r="F737">
        <v>1</v>
      </c>
      <c r="G737">
        <f>COUNTIF(E:E,E737)</f>
        <v>110</v>
      </c>
      <c r="H737">
        <f>COUNTIFS(E:E,E737,A:A,A737,D:D,D737)</f>
        <v>1</v>
      </c>
      <c r="I737" t="e">
        <f>SUMIF([1]Mapeamento!$J:$J,A737,[1]Mapeamento!$L:$L)</f>
        <v>#VALUE!</v>
      </c>
      <c r="J737" s="1" t="e">
        <f>SUMIF('[1]Map_Meso-Ox'!$C:$C,A737,'[1]Map_Meso-Ox'!$D:$D)</f>
        <v>#VALUE!</v>
      </c>
      <c r="K737" s="2" t="e">
        <f t="shared" si="22"/>
        <v>#VALUE!</v>
      </c>
      <c r="L737" s="1" t="e">
        <f>SUMIF('[1]Map_Meso-Ox'!$C:$C,A737,'[1]Map_Meso-Ox'!$E:$E)</f>
        <v>#VALUE!</v>
      </c>
      <c r="M737" s="2" t="e">
        <f t="shared" si="23"/>
        <v>#VALUE!</v>
      </c>
    </row>
    <row r="738" spans="1:13" x14ac:dyDescent="0.25">
      <c r="A738">
        <v>77</v>
      </c>
      <c r="B738">
        <v>3</v>
      </c>
      <c r="C738">
        <v>56.579000000000001</v>
      </c>
      <c r="D738">
        <v>0</v>
      </c>
      <c r="E738" t="s">
        <v>19</v>
      </c>
      <c r="F738">
        <v>1</v>
      </c>
      <c r="G738">
        <f>COUNTIF(E:E,E738)</f>
        <v>110</v>
      </c>
      <c r="H738">
        <f>COUNTIFS(E:E,E738,A:A,A738,D:D,D738)</f>
        <v>1</v>
      </c>
      <c r="I738" t="e">
        <f>SUMIF([1]Mapeamento!$J:$J,A738,[1]Mapeamento!$L:$L)</f>
        <v>#VALUE!</v>
      </c>
      <c r="J738" s="1" t="e">
        <f>SUMIF('[1]Map_Meso-Ox'!$C:$C,A738,'[1]Map_Meso-Ox'!$D:$D)</f>
        <v>#VALUE!</v>
      </c>
      <c r="K738" s="2" t="e">
        <f t="shared" si="22"/>
        <v>#VALUE!</v>
      </c>
      <c r="L738" s="1" t="e">
        <f>SUMIF('[1]Map_Meso-Ox'!$C:$C,A738,'[1]Map_Meso-Ox'!$E:$E)</f>
        <v>#VALUE!</v>
      </c>
      <c r="M738" s="2" t="e">
        <f t="shared" si="23"/>
        <v>#VALUE!</v>
      </c>
    </row>
    <row r="739" spans="1:13" x14ac:dyDescent="0.25">
      <c r="A739">
        <v>78</v>
      </c>
      <c r="B739">
        <v>3</v>
      </c>
      <c r="C739">
        <v>46.329000000000001</v>
      </c>
      <c r="D739">
        <v>0</v>
      </c>
      <c r="E739" t="s">
        <v>19</v>
      </c>
      <c r="F739">
        <v>2</v>
      </c>
      <c r="G739">
        <f>COUNTIF(E:E,E739)</f>
        <v>110</v>
      </c>
      <c r="H739">
        <f>COUNTIFS(E:E,E739,A:A,A739,D:D,D739)</f>
        <v>1</v>
      </c>
      <c r="I739" t="e">
        <f>SUMIF([1]Mapeamento!$J:$J,A739,[1]Mapeamento!$L:$L)</f>
        <v>#VALUE!</v>
      </c>
      <c r="J739" s="1" t="e">
        <f>SUMIF('[1]Map_Meso-Ox'!$C:$C,A739,'[1]Map_Meso-Ox'!$D:$D)</f>
        <v>#VALUE!</v>
      </c>
      <c r="K739" s="2" t="e">
        <f t="shared" si="22"/>
        <v>#VALUE!</v>
      </c>
      <c r="L739" s="1" t="e">
        <f>SUMIF('[1]Map_Meso-Ox'!$C:$C,A739,'[1]Map_Meso-Ox'!$E:$E)</f>
        <v>#VALUE!</v>
      </c>
      <c r="M739" s="2" t="e">
        <f t="shared" si="23"/>
        <v>#VALUE!</v>
      </c>
    </row>
    <row r="740" spans="1:13" x14ac:dyDescent="0.25">
      <c r="A740">
        <v>79</v>
      </c>
      <c r="B740">
        <v>3</v>
      </c>
      <c r="C740">
        <v>44.781999999999996</v>
      </c>
      <c r="D740">
        <v>1E-4</v>
      </c>
      <c r="E740" t="s">
        <v>19</v>
      </c>
      <c r="F740">
        <v>1</v>
      </c>
      <c r="G740">
        <f>COUNTIF(E:E,E740)</f>
        <v>110</v>
      </c>
      <c r="H740">
        <f>COUNTIFS(E:E,E740,A:A,A740,D:D,D740)</f>
        <v>1</v>
      </c>
      <c r="I740" t="e">
        <f>SUMIF([1]Mapeamento!$J:$J,A740,[1]Mapeamento!$L:$L)</f>
        <v>#VALUE!</v>
      </c>
      <c r="J740" s="1" t="e">
        <f>SUMIF('[1]Map_Meso-Ox'!$C:$C,A740,'[1]Map_Meso-Ox'!$D:$D)</f>
        <v>#VALUE!</v>
      </c>
      <c r="K740" s="2" t="e">
        <f t="shared" si="22"/>
        <v>#VALUE!</v>
      </c>
      <c r="L740" s="1" t="e">
        <f>SUMIF('[1]Map_Meso-Ox'!$C:$C,A740,'[1]Map_Meso-Ox'!$E:$E)</f>
        <v>#VALUE!</v>
      </c>
      <c r="M740" s="2" t="e">
        <f t="shared" si="23"/>
        <v>#VALUE!</v>
      </c>
    </row>
    <row r="741" spans="1:13" x14ac:dyDescent="0.25">
      <c r="A741">
        <v>80</v>
      </c>
      <c r="B741">
        <v>3</v>
      </c>
      <c r="C741">
        <v>45.113999999999997</v>
      </c>
      <c r="D741">
        <v>1E-4</v>
      </c>
      <c r="E741" t="s">
        <v>19</v>
      </c>
      <c r="F741">
        <v>1</v>
      </c>
      <c r="G741">
        <f>COUNTIF(E:E,E741)</f>
        <v>110</v>
      </c>
      <c r="H741">
        <f>COUNTIFS(E:E,E741,A:A,A741,D:D,D741)</f>
        <v>1</v>
      </c>
      <c r="I741" t="e">
        <f>SUMIF([1]Mapeamento!$J:$J,A741,[1]Mapeamento!$L:$L)</f>
        <v>#VALUE!</v>
      </c>
      <c r="J741" s="1" t="e">
        <f>SUMIF('[1]Map_Meso-Ox'!$C:$C,A741,'[1]Map_Meso-Ox'!$D:$D)</f>
        <v>#VALUE!</v>
      </c>
      <c r="K741" s="2" t="e">
        <f t="shared" si="22"/>
        <v>#VALUE!</v>
      </c>
      <c r="L741" s="1" t="e">
        <f>SUMIF('[1]Map_Meso-Ox'!$C:$C,A741,'[1]Map_Meso-Ox'!$E:$E)</f>
        <v>#VALUE!</v>
      </c>
      <c r="M741" s="2" t="e">
        <f t="shared" si="23"/>
        <v>#VALUE!</v>
      </c>
    </row>
    <row r="742" spans="1:13" x14ac:dyDescent="0.25">
      <c r="A742">
        <v>81</v>
      </c>
      <c r="B742">
        <v>3</v>
      </c>
      <c r="C742">
        <v>51.326999999999998</v>
      </c>
      <c r="D742">
        <v>0</v>
      </c>
      <c r="E742" t="s">
        <v>19</v>
      </c>
      <c r="F742">
        <v>1</v>
      </c>
      <c r="G742">
        <f>COUNTIF(E:E,E742)</f>
        <v>110</v>
      </c>
      <c r="H742">
        <f>COUNTIFS(E:E,E742,A:A,A742,D:D,D742)</f>
        <v>1</v>
      </c>
      <c r="I742" t="e">
        <f>SUMIF([1]Mapeamento!$J:$J,A742,[1]Mapeamento!$L:$L)</f>
        <v>#VALUE!</v>
      </c>
      <c r="J742" s="1" t="e">
        <f>SUMIF('[1]Map_Meso-Ox'!$C:$C,A742,'[1]Map_Meso-Ox'!$D:$D)</f>
        <v>#VALUE!</v>
      </c>
      <c r="K742" s="2" t="e">
        <f t="shared" si="22"/>
        <v>#VALUE!</v>
      </c>
      <c r="L742" s="1" t="e">
        <f>SUMIF('[1]Map_Meso-Ox'!$C:$C,A742,'[1]Map_Meso-Ox'!$E:$E)</f>
        <v>#VALUE!</v>
      </c>
      <c r="M742" s="2" t="e">
        <f t="shared" si="23"/>
        <v>#VALUE!</v>
      </c>
    </row>
    <row r="743" spans="1:13" x14ac:dyDescent="0.25">
      <c r="A743">
        <v>82</v>
      </c>
      <c r="B743">
        <v>3</v>
      </c>
      <c r="C743">
        <v>38.43</v>
      </c>
      <c r="D743">
        <v>8.0000000000000004E-4</v>
      </c>
      <c r="E743" t="s">
        <v>19</v>
      </c>
      <c r="F743">
        <v>1</v>
      </c>
      <c r="G743">
        <f>COUNTIF(E:E,E743)</f>
        <v>110</v>
      </c>
      <c r="H743">
        <f>COUNTIFS(E:E,E743,A:A,A743,D:D,D743)</f>
        <v>1</v>
      </c>
      <c r="I743" t="e">
        <f>SUMIF([1]Mapeamento!$J:$J,A743,[1]Mapeamento!$L:$L)</f>
        <v>#VALUE!</v>
      </c>
      <c r="J743" s="1" t="e">
        <f>SUMIF('[1]Map_Meso-Ox'!$C:$C,A743,'[1]Map_Meso-Ox'!$D:$D)</f>
        <v>#VALUE!</v>
      </c>
      <c r="K743" s="2" t="e">
        <f t="shared" si="22"/>
        <v>#VALUE!</v>
      </c>
      <c r="L743" s="1" t="e">
        <f>SUMIF('[1]Map_Meso-Ox'!$C:$C,A743,'[1]Map_Meso-Ox'!$E:$E)</f>
        <v>#VALUE!</v>
      </c>
      <c r="M743" s="2" t="e">
        <f t="shared" si="23"/>
        <v>#VALUE!</v>
      </c>
    </row>
    <row r="744" spans="1:13" x14ac:dyDescent="0.25">
      <c r="A744">
        <v>83</v>
      </c>
      <c r="B744">
        <v>3</v>
      </c>
      <c r="C744">
        <v>41.515000000000001</v>
      </c>
      <c r="D744">
        <v>2.9999999999999997E-4</v>
      </c>
      <c r="E744" t="s">
        <v>19</v>
      </c>
      <c r="F744">
        <v>1</v>
      </c>
      <c r="G744">
        <f>COUNTIF(E:E,E744)</f>
        <v>110</v>
      </c>
      <c r="H744">
        <f>COUNTIFS(E:E,E744,A:A,A744,D:D,D744)</f>
        <v>1</v>
      </c>
      <c r="I744" t="e">
        <f>SUMIF([1]Mapeamento!$J:$J,A744,[1]Mapeamento!$L:$L)</f>
        <v>#VALUE!</v>
      </c>
      <c r="J744" s="1" t="e">
        <f>SUMIF('[1]Map_Meso-Ox'!$C:$C,A744,'[1]Map_Meso-Ox'!$D:$D)</f>
        <v>#VALUE!</v>
      </c>
      <c r="K744" s="2" t="e">
        <f t="shared" ref="K744:K807" si="24">J744/203401269</f>
        <v>#VALUE!</v>
      </c>
      <c r="L744" s="1" t="e">
        <f>SUMIF('[1]Map_Meso-Ox'!$C:$C,A744,'[1]Map_Meso-Ox'!$E:$E)</f>
        <v>#VALUE!</v>
      </c>
      <c r="M744" s="2" t="e">
        <f t="shared" ref="M744:M807" si="25">L744/3868725997.715</f>
        <v>#VALUE!</v>
      </c>
    </row>
    <row r="745" spans="1:13" x14ac:dyDescent="0.25">
      <c r="A745">
        <v>84</v>
      </c>
      <c r="B745">
        <v>3</v>
      </c>
      <c r="C745">
        <v>38.249000000000002</v>
      </c>
      <c r="D745">
        <v>8.0000000000000004E-4</v>
      </c>
      <c r="E745" t="s">
        <v>19</v>
      </c>
      <c r="F745">
        <v>2</v>
      </c>
      <c r="G745">
        <f>COUNTIF(E:E,E745)</f>
        <v>110</v>
      </c>
      <c r="H745">
        <f>COUNTIFS(E:E,E745,A:A,A745,D:D,D745)</f>
        <v>1</v>
      </c>
      <c r="I745" t="e">
        <f>SUMIF([1]Mapeamento!$J:$J,A745,[1]Mapeamento!$L:$L)</f>
        <v>#VALUE!</v>
      </c>
      <c r="J745" s="1" t="e">
        <f>SUMIF('[1]Map_Meso-Ox'!$C:$C,A745,'[1]Map_Meso-Ox'!$D:$D)</f>
        <v>#VALUE!</v>
      </c>
      <c r="K745" s="2" t="e">
        <f t="shared" si="24"/>
        <v>#VALUE!</v>
      </c>
      <c r="L745" s="1" t="e">
        <f>SUMIF('[1]Map_Meso-Ox'!$C:$C,A745,'[1]Map_Meso-Ox'!$E:$E)</f>
        <v>#VALUE!</v>
      </c>
      <c r="M745" s="2" t="e">
        <f t="shared" si="25"/>
        <v>#VALUE!</v>
      </c>
    </row>
    <row r="746" spans="1:13" x14ac:dyDescent="0.25">
      <c r="A746">
        <v>85</v>
      </c>
      <c r="B746">
        <v>3</v>
      </c>
      <c r="C746">
        <v>39.659999999999997</v>
      </c>
      <c r="D746">
        <v>5.0000000000000001E-4</v>
      </c>
      <c r="E746" t="s">
        <v>19</v>
      </c>
      <c r="F746">
        <v>1</v>
      </c>
      <c r="G746">
        <f>COUNTIF(E:E,E746)</f>
        <v>110</v>
      </c>
      <c r="H746">
        <f>COUNTIFS(E:E,E746,A:A,A746,D:D,D746)</f>
        <v>1</v>
      </c>
      <c r="I746" t="e">
        <f>SUMIF([1]Mapeamento!$J:$J,A746,[1]Mapeamento!$L:$L)</f>
        <v>#VALUE!</v>
      </c>
      <c r="J746" s="1" t="e">
        <f>SUMIF('[1]Map_Meso-Ox'!$C:$C,A746,'[1]Map_Meso-Ox'!$D:$D)</f>
        <v>#VALUE!</v>
      </c>
      <c r="K746" s="2" t="e">
        <f t="shared" si="24"/>
        <v>#VALUE!</v>
      </c>
      <c r="L746" s="1" t="e">
        <f>SUMIF('[1]Map_Meso-Ox'!$C:$C,A746,'[1]Map_Meso-Ox'!$E:$E)</f>
        <v>#VALUE!</v>
      </c>
      <c r="M746" s="2" t="e">
        <f t="shared" si="25"/>
        <v>#VALUE!</v>
      </c>
    </row>
    <row r="747" spans="1:13" x14ac:dyDescent="0.25">
      <c r="A747">
        <v>86</v>
      </c>
      <c r="B747">
        <v>3</v>
      </c>
      <c r="C747">
        <v>29.149000000000001</v>
      </c>
      <c r="D747">
        <v>1.54E-2</v>
      </c>
      <c r="E747" t="s">
        <v>19</v>
      </c>
      <c r="F747">
        <v>1</v>
      </c>
      <c r="G747">
        <f>COUNTIF(E:E,E747)</f>
        <v>110</v>
      </c>
      <c r="H747">
        <f>COUNTIFS(E:E,E747,A:A,A747,D:D,D747)</f>
        <v>1</v>
      </c>
      <c r="I747" t="e">
        <f>SUMIF([1]Mapeamento!$J:$J,A747,[1]Mapeamento!$L:$L)</f>
        <v>#VALUE!</v>
      </c>
      <c r="J747" s="1" t="e">
        <f>SUMIF('[1]Map_Meso-Ox'!$C:$C,A747,'[1]Map_Meso-Ox'!$D:$D)</f>
        <v>#VALUE!</v>
      </c>
      <c r="K747" s="2" t="e">
        <f t="shared" si="24"/>
        <v>#VALUE!</v>
      </c>
      <c r="L747" s="1" t="e">
        <f>SUMIF('[1]Map_Meso-Ox'!$C:$C,A747,'[1]Map_Meso-Ox'!$E:$E)</f>
        <v>#VALUE!</v>
      </c>
      <c r="M747" s="2" t="e">
        <f t="shared" si="25"/>
        <v>#VALUE!</v>
      </c>
    </row>
    <row r="748" spans="1:13" x14ac:dyDescent="0.25">
      <c r="A748">
        <v>87</v>
      </c>
      <c r="B748">
        <v>3</v>
      </c>
      <c r="C748">
        <v>31.71</v>
      </c>
      <c r="D748">
        <v>7.0000000000000001E-3</v>
      </c>
      <c r="E748" t="s">
        <v>19</v>
      </c>
      <c r="F748">
        <v>0</v>
      </c>
      <c r="G748">
        <f>COUNTIF(E:E,E748)</f>
        <v>110</v>
      </c>
      <c r="H748">
        <f>COUNTIFS(E:E,E748,A:A,A748,D:D,D748)</f>
        <v>1</v>
      </c>
      <c r="I748" t="e">
        <f>SUMIF([1]Mapeamento!$J:$J,A748,[1]Mapeamento!$L:$L)</f>
        <v>#VALUE!</v>
      </c>
      <c r="J748" s="1" t="e">
        <f>SUMIF('[1]Map_Meso-Ox'!$C:$C,A748,'[1]Map_Meso-Ox'!$D:$D)</f>
        <v>#VALUE!</v>
      </c>
      <c r="K748" s="2" t="e">
        <f t="shared" si="24"/>
        <v>#VALUE!</v>
      </c>
      <c r="L748" s="1" t="e">
        <f>SUMIF('[1]Map_Meso-Ox'!$C:$C,A748,'[1]Map_Meso-Ox'!$E:$E)</f>
        <v>#VALUE!</v>
      </c>
      <c r="M748" s="2" t="e">
        <f t="shared" si="25"/>
        <v>#VALUE!</v>
      </c>
    </row>
    <row r="749" spans="1:13" x14ac:dyDescent="0.25">
      <c r="A749">
        <v>88</v>
      </c>
      <c r="B749">
        <v>3</v>
      </c>
      <c r="C749">
        <v>13.874000000000001</v>
      </c>
      <c r="D749">
        <v>0.53510000000000002</v>
      </c>
      <c r="E749" t="s">
        <v>19</v>
      </c>
      <c r="F749">
        <v>0</v>
      </c>
      <c r="G749">
        <f>COUNTIF(E:E,E749)</f>
        <v>110</v>
      </c>
      <c r="H749">
        <f>COUNTIFS(E:E,E749,A:A,A749,D:D,D749)</f>
        <v>1</v>
      </c>
      <c r="I749" t="e">
        <f>SUMIF([1]Mapeamento!$J:$J,A749,[1]Mapeamento!$L:$L)</f>
        <v>#VALUE!</v>
      </c>
      <c r="J749" s="1" t="e">
        <f>SUMIF('[1]Map_Meso-Ox'!$C:$C,A749,'[1]Map_Meso-Ox'!$D:$D)</f>
        <v>#VALUE!</v>
      </c>
      <c r="K749" s="2" t="e">
        <f t="shared" si="24"/>
        <v>#VALUE!</v>
      </c>
      <c r="L749" s="1" t="e">
        <f>SUMIF('[1]Map_Meso-Ox'!$C:$C,A749,'[1]Map_Meso-Ox'!$E:$E)</f>
        <v>#VALUE!</v>
      </c>
      <c r="M749" s="2" t="e">
        <f t="shared" si="25"/>
        <v>#VALUE!</v>
      </c>
    </row>
    <row r="750" spans="1:13" x14ac:dyDescent="0.25">
      <c r="A750">
        <v>89</v>
      </c>
      <c r="B750">
        <v>3</v>
      </c>
      <c r="C750">
        <v>27.780999999999999</v>
      </c>
      <c r="D750">
        <v>2.3E-2</v>
      </c>
      <c r="E750" t="s">
        <v>19</v>
      </c>
      <c r="F750">
        <v>0</v>
      </c>
      <c r="G750">
        <f>COUNTIF(E:E,E750)</f>
        <v>110</v>
      </c>
      <c r="H750">
        <f>COUNTIFS(E:E,E750,A:A,A750,D:D,D750)</f>
        <v>1</v>
      </c>
      <c r="I750" t="e">
        <f>SUMIF([1]Mapeamento!$J:$J,A750,[1]Mapeamento!$L:$L)</f>
        <v>#VALUE!</v>
      </c>
      <c r="J750" s="1" t="e">
        <f>SUMIF('[1]Map_Meso-Ox'!$C:$C,A750,'[1]Map_Meso-Ox'!$D:$D)</f>
        <v>#VALUE!</v>
      </c>
      <c r="K750" s="2" t="e">
        <f t="shared" si="24"/>
        <v>#VALUE!</v>
      </c>
      <c r="L750" s="1" t="e">
        <f>SUMIF('[1]Map_Meso-Ox'!$C:$C,A750,'[1]Map_Meso-Ox'!$E:$E)</f>
        <v>#VALUE!</v>
      </c>
      <c r="M750" s="2" t="e">
        <f t="shared" si="25"/>
        <v>#VALUE!</v>
      </c>
    </row>
    <row r="751" spans="1:13" x14ac:dyDescent="0.25">
      <c r="A751">
        <v>90</v>
      </c>
      <c r="B751">
        <v>3</v>
      </c>
      <c r="C751">
        <v>41.335000000000001</v>
      </c>
      <c r="D751">
        <v>2.9999999999999997E-4</v>
      </c>
      <c r="E751" t="s">
        <v>19</v>
      </c>
      <c r="F751">
        <v>1</v>
      </c>
      <c r="G751">
        <f>COUNTIF(E:E,E751)</f>
        <v>110</v>
      </c>
      <c r="H751">
        <f>COUNTIFS(E:E,E751,A:A,A751,D:D,D751)</f>
        <v>1</v>
      </c>
      <c r="I751" t="e">
        <f>SUMIF([1]Mapeamento!$J:$J,A751,[1]Mapeamento!$L:$L)</f>
        <v>#VALUE!</v>
      </c>
      <c r="J751" s="1" t="e">
        <f>SUMIF('[1]Map_Meso-Ox'!$C:$C,A751,'[1]Map_Meso-Ox'!$D:$D)</f>
        <v>#VALUE!</v>
      </c>
      <c r="K751" s="2" t="e">
        <f t="shared" si="24"/>
        <v>#VALUE!</v>
      </c>
      <c r="L751" s="1" t="e">
        <f>SUMIF('[1]Map_Meso-Ox'!$C:$C,A751,'[1]Map_Meso-Ox'!$E:$E)</f>
        <v>#VALUE!</v>
      </c>
      <c r="M751" s="2" t="e">
        <f t="shared" si="25"/>
        <v>#VALUE!</v>
      </c>
    </row>
    <row r="752" spans="1:13" x14ac:dyDescent="0.25">
      <c r="A752">
        <v>91</v>
      </c>
      <c r="B752">
        <v>3</v>
      </c>
      <c r="C752">
        <v>58.832000000000001</v>
      </c>
      <c r="D752">
        <v>0</v>
      </c>
      <c r="E752" t="s">
        <v>19</v>
      </c>
      <c r="F752">
        <v>2</v>
      </c>
      <c r="G752">
        <f>COUNTIF(E:E,E752)</f>
        <v>110</v>
      </c>
      <c r="H752">
        <f>COUNTIFS(E:E,E752,A:A,A752,D:D,D752)</f>
        <v>1</v>
      </c>
      <c r="I752" t="e">
        <f>SUMIF([1]Mapeamento!$J:$J,A752,[1]Mapeamento!$L:$L)</f>
        <v>#VALUE!</v>
      </c>
      <c r="J752" s="1" t="e">
        <f>SUMIF('[1]Map_Meso-Ox'!$C:$C,A752,'[1]Map_Meso-Ox'!$D:$D)</f>
        <v>#VALUE!</v>
      </c>
      <c r="K752" s="2" t="e">
        <f t="shared" si="24"/>
        <v>#VALUE!</v>
      </c>
      <c r="L752" s="1" t="e">
        <f>SUMIF('[1]Map_Meso-Ox'!$C:$C,A752,'[1]Map_Meso-Ox'!$E:$E)</f>
        <v>#VALUE!</v>
      </c>
      <c r="M752" s="2" t="e">
        <f t="shared" si="25"/>
        <v>#VALUE!</v>
      </c>
    </row>
    <row r="753" spans="1:13" x14ac:dyDescent="0.25">
      <c r="A753">
        <v>92</v>
      </c>
      <c r="B753">
        <v>3</v>
      </c>
      <c r="C753">
        <v>52.366</v>
      </c>
      <c r="D753">
        <v>0</v>
      </c>
      <c r="E753" t="s">
        <v>19</v>
      </c>
      <c r="F753">
        <v>0</v>
      </c>
      <c r="G753">
        <f>COUNTIF(E:E,E753)</f>
        <v>110</v>
      </c>
      <c r="H753">
        <f>COUNTIFS(E:E,E753,A:A,A753,D:D,D753)</f>
        <v>1</v>
      </c>
      <c r="I753" t="e">
        <f>SUMIF([1]Mapeamento!$J:$J,A753,[1]Mapeamento!$L:$L)</f>
        <v>#VALUE!</v>
      </c>
      <c r="J753" s="1" t="e">
        <f>SUMIF('[1]Map_Meso-Ox'!$C:$C,A753,'[1]Map_Meso-Ox'!$D:$D)</f>
        <v>#VALUE!</v>
      </c>
      <c r="K753" s="2" t="e">
        <f t="shared" si="24"/>
        <v>#VALUE!</v>
      </c>
      <c r="L753" s="1" t="e">
        <f>SUMIF('[1]Map_Meso-Ox'!$C:$C,A753,'[1]Map_Meso-Ox'!$E:$E)</f>
        <v>#VALUE!</v>
      </c>
      <c r="M753" s="2" t="e">
        <f t="shared" si="25"/>
        <v>#VALUE!</v>
      </c>
    </row>
    <row r="754" spans="1:13" x14ac:dyDescent="0.25">
      <c r="A754">
        <v>93</v>
      </c>
      <c r="B754">
        <v>3</v>
      </c>
      <c r="C754">
        <v>50.917000000000002</v>
      </c>
      <c r="D754">
        <v>0</v>
      </c>
      <c r="E754" t="s">
        <v>19</v>
      </c>
      <c r="F754">
        <v>0</v>
      </c>
      <c r="G754">
        <f>COUNTIF(E:E,E754)</f>
        <v>110</v>
      </c>
      <c r="H754">
        <f>COUNTIFS(E:E,E754,A:A,A754,D:D,D754)</f>
        <v>1</v>
      </c>
      <c r="I754" t="e">
        <f>SUMIF([1]Mapeamento!$J:$J,A754,[1]Mapeamento!$L:$L)</f>
        <v>#VALUE!</v>
      </c>
      <c r="J754" s="1" t="e">
        <f>SUMIF('[1]Map_Meso-Ox'!$C:$C,A754,'[1]Map_Meso-Ox'!$D:$D)</f>
        <v>#VALUE!</v>
      </c>
      <c r="K754" s="2" t="e">
        <f t="shared" si="24"/>
        <v>#VALUE!</v>
      </c>
      <c r="L754" s="1" t="e">
        <f>SUMIF('[1]Map_Meso-Ox'!$C:$C,A754,'[1]Map_Meso-Ox'!$E:$E)</f>
        <v>#VALUE!</v>
      </c>
      <c r="M754" s="2" t="e">
        <f t="shared" si="25"/>
        <v>#VALUE!</v>
      </c>
    </row>
    <row r="755" spans="1:13" x14ac:dyDescent="0.25">
      <c r="A755">
        <v>94</v>
      </c>
      <c r="B755">
        <v>3</v>
      </c>
      <c r="C755">
        <v>42.448999999999998</v>
      </c>
      <c r="D755">
        <v>2.0000000000000001E-4</v>
      </c>
      <c r="E755" t="s">
        <v>19</v>
      </c>
      <c r="F755">
        <v>2</v>
      </c>
      <c r="G755">
        <f>COUNTIF(E:E,E755)</f>
        <v>110</v>
      </c>
      <c r="H755">
        <f>COUNTIFS(E:E,E755,A:A,A755,D:D,D755)</f>
        <v>1</v>
      </c>
      <c r="I755" t="e">
        <f>SUMIF([1]Mapeamento!$J:$J,A755,[1]Mapeamento!$L:$L)</f>
        <v>#VALUE!</v>
      </c>
      <c r="J755" s="1" t="e">
        <f>SUMIF('[1]Map_Meso-Ox'!$C:$C,A755,'[1]Map_Meso-Ox'!$D:$D)</f>
        <v>#VALUE!</v>
      </c>
      <c r="K755" s="2" t="e">
        <f t="shared" si="24"/>
        <v>#VALUE!</v>
      </c>
      <c r="L755" s="1" t="e">
        <f>SUMIF('[1]Map_Meso-Ox'!$C:$C,A755,'[1]Map_Meso-Ox'!$E:$E)</f>
        <v>#VALUE!</v>
      </c>
      <c r="M755" s="2" t="e">
        <f t="shared" si="25"/>
        <v>#VALUE!</v>
      </c>
    </row>
    <row r="756" spans="1:13" x14ac:dyDescent="0.25">
      <c r="A756">
        <v>95</v>
      </c>
      <c r="B756">
        <v>3</v>
      </c>
      <c r="C756">
        <v>28.06</v>
      </c>
      <c r="D756">
        <v>2.12E-2</v>
      </c>
      <c r="E756" t="s">
        <v>19</v>
      </c>
      <c r="F756">
        <v>0</v>
      </c>
      <c r="G756">
        <f>COUNTIF(E:E,E756)</f>
        <v>110</v>
      </c>
      <c r="H756">
        <f>COUNTIFS(E:E,E756,A:A,A756,D:D,D756)</f>
        <v>1</v>
      </c>
      <c r="I756" t="e">
        <f>SUMIF([1]Mapeamento!$J:$J,A756,[1]Mapeamento!$L:$L)</f>
        <v>#VALUE!</v>
      </c>
      <c r="J756" s="1" t="e">
        <f>SUMIF('[1]Map_Meso-Ox'!$C:$C,A756,'[1]Map_Meso-Ox'!$D:$D)</f>
        <v>#VALUE!</v>
      </c>
      <c r="K756" s="2" t="e">
        <f t="shared" si="24"/>
        <v>#VALUE!</v>
      </c>
      <c r="L756" s="1" t="e">
        <f>SUMIF('[1]Map_Meso-Ox'!$C:$C,A756,'[1]Map_Meso-Ox'!$E:$E)</f>
        <v>#VALUE!</v>
      </c>
      <c r="M756" s="2" t="e">
        <f t="shared" si="25"/>
        <v>#VALUE!</v>
      </c>
    </row>
    <row r="757" spans="1:13" x14ac:dyDescent="0.25">
      <c r="A757">
        <v>96</v>
      </c>
      <c r="B757">
        <v>3</v>
      </c>
      <c r="C757">
        <v>38.872</v>
      </c>
      <c r="D757">
        <v>6.9999999999999999E-4</v>
      </c>
      <c r="E757" t="s">
        <v>19</v>
      </c>
      <c r="F757">
        <v>0</v>
      </c>
      <c r="G757">
        <f>COUNTIF(E:E,E757)</f>
        <v>110</v>
      </c>
      <c r="H757">
        <f>COUNTIFS(E:E,E757,A:A,A757,D:D,D757)</f>
        <v>1</v>
      </c>
      <c r="I757" t="e">
        <f>SUMIF([1]Mapeamento!$J:$J,A757,[1]Mapeamento!$L:$L)</f>
        <v>#VALUE!</v>
      </c>
      <c r="J757" s="1" t="e">
        <f>SUMIF('[1]Map_Meso-Ox'!$C:$C,A757,'[1]Map_Meso-Ox'!$D:$D)</f>
        <v>#VALUE!</v>
      </c>
      <c r="K757" s="2" t="e">
        <f t="shared" si="24"/>
        <v>#VALUE!</v>
      </c>
      <c r="L757" s="1" t="e">
        <f>SUMIF('[1]Map_Meso-Ox'!$C:$C,A757,'[1]Map_Meso-Ox'!$E:$E)</f>
        <v>#VALUE!</v>
      </c>
      <c r="M757" s="2" t="e">
        <f t="shared" si="25"/>
        <v>#VALUE!</v>
      </c>
    </row>
    <row r="758" spans="1:13" x14ac:dyDescent="0.25">
      <c r="A758">
        <v>97</v>
      </c>
      <c r="B758">
        <v>3</v>
      </c>
      <c r="C758">
        <v>43.496000000000002</v>
      </c>
      <c r="D758">
        <v>1E-4</v>
      </c>
      <c r="E758" t="s">
        <v>19</v>
      </c>
      <c r="F758">
        <v>1</v>
      </c>
      <c r="G758">
        <f>COUNTIF(E:E,E758)</f>
        <v>110</v>
      </c>
      <c r="H758">
        <f>COUNTIFS(E:E,E758,A:A,A758,D:D,D758)</f>
        <v>1</v>
      </c>
      <c r="I758" t="e">
        <f>SUMIF([1]Mapeamento!$J:$J,A758,[1]Mapeamento!$L:$L)</f>
        <v>#VALUE!</v>
      </c>
      <c r="J758" s="1" t="e">
        <f>SUMIF('[1]Map_Meso-Ox'!$C:$C,A758,'[1]Map_Meso-Ox'!$D:$D)</f>
        <v>#VALUE!</v>
      </c>
      <c r="K758" s="2" t="e">
        <f t="shared" si="24"/>
        <v>#VALUE!</v>
      </c>
      <c r="L758" s="1" t="e">
        <f>SUMIF('[1]Map_Meso-Ox'!$C:$C,A758,'[1]Map_Meso-Ox'!$E:$E)</f>
        <v>#VALUE!</v>
      </c>
      <c r="M758" s="2" t="e">
        <f t="shared" si="25"/>
        <v>#VALUE!</v>
      </c>
    </row>
    <row r="759" spans="1:13" x14ac:dyDescent="0.25">
      <c r="A759">
        <v>98</v>
      </c>
      <c r="B759">
        <v>3</v>
      </c>
      <c r="C759">
        <v>52.912999999999997</v>
      </c>
      <c r="D759">
        <v>0</v>
      </c>
      <c r="E759" t="s">
        <v>19</v>
      </c>
      <c r="F759">
        <v>0</v>
      </c>
      <c r="G759">
        <f>COUNTIF(E:E,E759)</f>
        <v>110</v>
      </c>
      <c r="H759">
        <f>COUNTIFS(E:E,E759,A:A,A759,D:D,D759)</f>
        <v>1</v>
      </c>
      <c r="I759" t="e">
        <f>SUMIF([1]Mapeamento!$J:$J,A759,[1]Mapeamento!$L:$L)</f>
        <v>#VALUE!</v>
      </c>
      <c r="J759" s="1" t="e">
        <f>SUMIF('[1]Map_Meso-Ox'!$C:$C,A759,'[1]Map_Meso-Ox'!$D:$D)</f>
        <v>#VALUE!</v>
      </c>
      <c r="K759" s="2" t="e">
        <f t="shared" si="24"/>
        <v>#VALUE!</v>
      </c>
      <c r="L759" s="1" t="e">
        <f>SUMIF('[1]Map_Meso-Ox'!$C:$C,A759,'[1]Map_Meso-Ox'!$E:$E)</f>
        <v>#VALUE!</v>
      </c>
      <c r="M759" s="2" t="e">
        <f t="shared" si="25"/>
        <v>#VALUE!</v>
      </c>
    </row>
    <row r="760" spans="1:13" x14ac:dyDescent="0.25">
      <c r="A760">
        <v>99</v>
      </c>
      <c r="B760">
        <v>3</v>
      </c>
      <c r="C760">
        <v>57.698999999999998</v>
      </c>
      <c r="D760">
        <v>0</v>
      </c>
      <c r="E760" t="s">
        <v>19</v>
      </c>
      <c r="F760">
        <v>1</v>
      </c>
      <c r="G760">
        <f>COUNTIF(E:E,E760)</f>
        <v>110</v>
      </c>
      <c r="H760">
        <f>COUNTIFS(E:E,E760,A:A,A760,D:D,D760)</f>
        <v>1</v>
      </c>
      <c r="I760" t="e">
        <f>SUMIF([1]Mapeamento!$J:$J,A760,[1]Mapeamento!$L:$L)</f>
        <v>#VALUE!</v>
      </c>
      <c r="J760" s="1" t="e">
        <f>SUMIF('[1]Map_Meso-Ox'!$C:$C,A760,'[1]Map_Meso-Ox'!$D:$D)</f>
        <v>#VALUE!</v>
      </c>
      <c r="K760" s="2" t="e">
        <f t="shared" si="24"/>
        <v>#VALUE!</v>
      </c>
      <c r="L760" s="1" t="e">
        <f>SUMIF('[1]Map_Meso-Ox'!$C:$C,A760,'[1]Map_Meso-Ox'!$E:$E)</f>
        <v>#VALUE!</v>
      </c>
      <c r="M760" s="2" t="e">
        <f t="shared" si="25"/>
        <v>#VALUE!</v>
      </c>
    </row>
    <row r="761" spans="1:13" x14ac:dyDescent="0.25">
      <c r="A761">
        <v>100</v>
      </c>
      <c r="B761">
        <v>3</v>
      </c>
      <c r="C761">
        <v>57.219000000000001</v>
      </c>
      <c r="D761">
        <v>0</v>
      </c>
      <c r="E761" t="s">
        <v>19</v>
      </c>
      <c r="F761">
        <v>2</v>
      </c>
      <c r="G761">
        <f>COUNTIF(E:E,E761)</f>
        <v>110</v>
      </c>
      <c r="H761">
        <f>COUNTIFS(E:E,E761,A:A,A761,D:D,D761)</f>
        <v>1</v>
      </c>
      <c r="I761" t="e">
        <f>SUMIF([1]Mapeamento!$J:$J,A761,[1]Mapeamento!$L:$L)</f>
        <v>#VALUE!</v>
      </c>
      <c r="J761" s="1" t="e">
        <f>SUMIF('[1]Map_Meso-Ox'!$C:$C,A761,'[1]Map_Meso-Ox'!$D:$D)</f>
        <v>#VALUE!</v>
      </c>
      <c r="K761" s="2" t="e">
        <f t="shared" si="24"/>
        <v>#VALUE!</v>
      </c>
      <c r="L761" s="1" t="e">
        <f>SUMIF('[1]Map_Meso-Ox'!$C:$C,A761,'[1]Map_Meso-Ox'!$E:$E)</f>
        <v>#VALUE!</v>
      </c>
      <c r="M761" s="2" t="e">
        <f t="shared" si="25"/>
        <v>#VALUE!</v>
      </c>
    </row>
    <row r="762" spans="1:13" x14ac:dyDescent="0.25">
      <c r="A762">
        <v>101</v>
      </c>
      <c r="B762">
        <v>3</v>
      </c>
      <c r="C762">
        <v>83.641000000000005</v>
      </c>
      <c r="D762">
        <v>0</v>
      </c>
      <c r="E762" t="s">
        <v>19</v>
      </c>
      <c r="F762">
        <v>2</v>
      </c>
      <c r="G762">
        <f>COUNTIF(E:E,E762)</f>
        <v>110</v>
      </c>
      <c r="H762">
        <f>COUNTIFS(E:E,E762,A:A,A762,D:D,D762)</f>
        <v>1</v>
      </c>
      <c r="I762" t="e">
        <f>SUMIF([1]Mapeamento!$J:$J,A762,[1]Mapeamento!$L:$L)</f>
        <v>#VALUE!</v>
      </c>
      <c r="J762" s="1" t="e">
        <f>SUMIF('[1]Map_Meso-Ox'!$C:$C,A762,'[1]Map_Meso-Ox'!$D:$D)</f>
        <v>#VALUE!</v>
      </c>
      <c r="K762" s="2" t="e">
        <f t="shared" si="24"/>
        <v>#VALUE!</v>
      </c>
      <c r="L762" s="1" t="e">
        <f>SUMIF('[1]Map_Meso-Ox'!$C:$C,A762,'[1]Map_Meso-Ox'!$E:$E)</f>
        <v>#VALUE!</v>
      </c>
      <c r="M762" s="2" t="e">
        <f t="shared" si="25"/>
        <v>#VALUE!</v>
      </c>
    </row>
    <row r="763" spans="1:13" x14ac:dyDescent="0.25">
      <c r="A763">
        <v>102</v>
      </c>
      <c r="B763">
        <v>3</v>
      </c>
      <c r="C763">
        <v>38.536000000000001</v>
      </c>
      <c r="D763">
        <v>8.0000000000000004E-4</v>
      </c>
      <c r="E763" t="s">
        <v>19</v>
      </c>
      <c r="F763">
        <v>0</v>
      </c>
      <c r="G763">
        <f>COUNTIF(E:E,E763)</f>
        <v>110</v>
      </c>
      <c r="H763">
        <f>COUNTIFS(E:E,E763,A:A,A763,D:D,D763)</f>
        <v>1</v>
      </c>
      <c r="I763" t="e">
        <f>SUMIF([1]Mapeamento!$J:$J,A763,[1]Mapeamento!$L:$L)</f>
        <v>#VALUE!</v>
      </c>
      <c r="J763" s="1" t="e">
        <f>SUMIF('[1]Map_Meso-Ox'!$C:$C,A763,'[1]Map_Meso-Ox'!$D:$D)</f>
        <v>#VALUE!</v>
      </c>
      <c r="K763" s="2" t="e">
        <f t="shared" si="24"/>
        <v>#VALUE!</v>
      </c>
      <c r="L763" s="1" t="e">
        <f>SUMIF('[1]Map_Meso-Ox'!$C:$C,A763,'[1]Map_Meso-Ox'!$E:$E)</f>
        <v>#VALUE!</v>
      </c>
      <c r="M763" s="2" t="e">
        <f t="shared" si="25"/>
        <v>#VALUE!</v>
      </c>
    </row>
    <row r="764" spans="1:13" x14ac:dyDescent="0.25">
      <c r="A764">
        <v>103</v>
      </c>
      <c r="B764">
        <v>3</v>
      </c>
      <c r="C764">
        <v>55.426000000000002</v>
      </c>
      <c r="D764">
        <v>0</v>
      </c>
      <c r="E764" t="s">
        <v>19</v>
      </c>
      <c r="F764">
        <v>1</v>
      </c>
      <c r="G764">
        <f>COUNTIF(E:E,E764)</f>
        <v>110</v>
      </c>
      <c r="H764">
        <f>COUNTIFS(E:E,E764,A:A,A764,D:D,D764)</f>
        <v>1</v>
      </c>
      <c r="I764" t="e">
        <f>SUMIF([1]Mapeamento!$J:$J,A764,[1]Mapeamento!$L:$L)</f>
        <v>#VALUE!</v>
      </c>
      <c r="J764" s="1" t="e">
        <f>SUMIF('[1]Map_Meso-Ox'!$C:$C,A764,'[1]Map_Meso-Ox'!$D:$D)</f>
        <v>#VALUE!</v>
      </c>
      <c r="K764" s="2" t="e">
        <f t="shared" si="24"/>
        <v>#VALUE!</v>
      </c>
      <c r="L764" s="1" t="e">
        <f>SUMIF('[1]Map_Meso-Ox'!$C:$C,A764,'[1]Map_Meso-Ox'!$E:$E)</f>
        <v>#VALUE!</v>
      </c>
      <c r="M764" s="2" t="e">
        <f t="shared" si="25"/>
        <v>#VALUE!</v>
      </c>
    </row>
    <row r="765" spans="1:13" x14ac:dyDescent="0.25">
      <c r="A765">
        <v>104</v>
      </c>
      <c r="B765">
        <v>3</v>
      </c>
      <c r="C765">
        <v>42.863</v>
      </c>
      <c r="D765">
        <v>2.0000000000000001E-4</v>
      </c>
      <c r="E765" t="s">
        <v>19</v>
      </c>
      <c r="F765">
        <v>1</v>
      </c>
      <c r="G765">
        <f>COUNTIF(E:E,E765)</f>
        <v>110</v>
      </c>
      <c r="H765">
        <f>COUNTIFS(E:E,E765,A:A,A765,D:D,D765)</f>
        <v>1</v>
      </c>
      <c r="I765" t="e">
        <f>SUMIF([1]Mapeamento!$J:$J,A765,[1]Mapeamento!$L:$L)</f>
        <v>#VALUE!</v>
      </c>
      <c r="J765" s="1" t="e">
        <f>SUMIF('[1]Map_Meso-Ox'!$C:$C,A765,'[1]Map_Meso-Ox'!$D:$D)</f>
        <v>#VALUE!</v>
      </c>
      <c r="K765" s="2" t="e">
        <f t="shared" si="24"/>
        <v>#VALUE!</v>
      </c>
      <c r="L765" s="1" t="e">
        <f>SUMIF('[1]Map_Meso-Ox'!$C:$C,A765,'[1]Map_Meso-Ox'!$E:$E)</f>
        <v>#VALUE!</v>
      </c>
      <c r="M765" s="2" t="e">
        <f t="shared" si="25"/>
        <v>#VALUE!</v>
      </c>
    </row>
    <row r="766" spans="1:13" x14ac:dyDescent="0.25">
      <c r="A766">
        <v>105</v>
      </c>
      <c r="B766">
        <v>3</v>
      </c>
      <c r="C766">
        <v>42.484000000000002</v>
      </c>
      <c r="D766">
        <v>2.0000000000000001E-4</v>
      </c>
      <c r="E766" t="s">
        <v>19</v>
      </c>
      <c r="F766">
        <v>2</v>
      </c>
      <c r="G766">
        <f>COUNTIF(E:E,E766)</f>
        <v>110</v>
      </c>
      <c r="H766">
        <f>COUNTIFS(E:E,E766,A:A,A766,D:D,D766)</f>
        <v>1</v>
      </c>
      <c r="I766" t="e">
        <f>SUMIF([1]Mapeamento!$J:$J,A766,[1]Mapeamento!$L:$L)</f>
        <v>#VALUE!</v>
      </c>
      <c r="J766" s="1" t="e">
        <f>SUMIF('[1]Map_Meso-Ox'!$C:$C,A766,'[1]Map_Meso-Ox'!$D:$D)</f>
        <v>#VALUE!</v>
      </c>
      <c r="K766" s="2" t="e">
        <f t="shared" si="24"/>
        <v>#VALUE!</v>
      </c>
      <c r="L766" s="1" t="e">
        <f>SUMIF('[1]Map_Meso-Ox'!$C:$C,A766,'[1]Map_Meso-Ox'!$E:$E)</f>
        <v>#VALUE!</v>
      </c>
      <c r="M766" s="2" t="e">
        <f t="shared" si="25"/>
        <v>#VALUE!</v>
      </c>
    </row>
    <row r="767" spans="1:13" x14ac:dyDescent="0.25">
      <c r="A767">
        <v>106</v>
      </c>
      <c r="B767">
        <v>3</v>
      </c>
      <c r="C767">
        <v>48.64</v>
      </c>
      <c r="D767">
        <v>0</v>
      </c>
      <c r="E767" t="s">
        <v>19</v>
      </c>
      <c r="F767">
        <v>2</v>
      </c>
      <c r="G767">
        <f>COUNTIF(E:E,E767)</f>
        <v>110</v>
      </c>
      <c r="H767">
        <f>COUNTIFS(E:E,E767,A:A,A767,D:D,D767)</f>
        <v>1</v>
      </c>
      <c r="I767" t="e">
        <f>SUMIF([1]Mapeamento!$J:$J,A767,[1]Mapeamento!$L:$L)</f>
        <v>#VALUE!</v>
      </c>
      <c r="J767" s="1" t="e">
        <f>SUMIF('[1]Map_Meso-Ox'!$C:$C,A767,'[1]Map_Meso-Ox'!$D:$D)</f>
        <v>#VALUE!</v>
      </c>
      <c r="K767" s="2" t="e">
        <f t="shared" si="24"/>
        <v>#VALUE!</v>
      </c>
      <c r="L767" s="1" t="e">
        <f>SUMIF('[1]Map_Meso-Ox'!$C:$C,A767,'[1]Map_Meso-Ox'!$E:$E)</f>
        <v>#VALUE!</v>
      </c>
      <c r="M767" s="2" t="e">
        <f t="shared" si="25"/>
        <v>#VALUE!</v>
      </c>
    </row>
    <row r="768" spans="1:13" x14ac:dyDescent="0.25">
      <c r="A768">
        <v>107</v>
      </c>
      <c r="B768">
        <v>3</v>
      </c>
      <c r="C768">
        <v>48.725000000000001</v>
      </c>
      <c r="D768">
        <v>0</v>
      </c>
      <c r="E768" t="s">
        <v>19</v>
      </c>
      <c r="F768">
        <v>1</v>
      </c>
      <c r="G768">
        <f>COUNTIF(E:E,E768)</f>
        <v>110</v>
      </c>
      <c r="H768">
        <f>COUNTIFS(E:E,E768,A:A,A768,D:D,D768)</f>
        <v>1</v>
      </c>
      <c r="I768" t="e">
        <f>SUMIF([1]Mapeamento!$J:$J,A768,[1]Mapeamento!$L:$L)</f>
        <v>#VALUE!</v>
      </c>
      <c r="J768" s="1" t="e">
        <f>SUMIF('[1]Map_Meso-Ox'!$C:$C,A768,'[1]Map_Meso-Ox'!$D:$D)</f>
        <v>#VALUE!</v>
      </c>
      <c r="K768" s="2" t="e">
        <f t="shared" si="24"/>
        <v>#VALUE!</v>
      </c>
      <c r="L768" s="1" t="e">
        <f>SUMIF('[1]Map_Meso-Ox'!$C:$C,A768,'[1]Map_Meso-Ox'!$E:$E)</f>
        <v>#VALUE!</v>
      </c>
      <c r="M768" s="2" t="e">
        <f t="shared" si="25"/>
        <v>#VALUE!</v>
      </c>
    </row>
    <row r="769" spans="1:13" x14ac:dyDescent="0.25">
      <c r="A769">
        <v>108</v>
      </c>
      <c r="B769">
        <v>3</v>
      </c>
      <c r="C769">
        <v>53.956000000000003</v>
      </c>
      <c r="D769">
        <v>0</v>
      </c>
      <c r="E769" t="s">
        <v>19</v>
      </c>
      <c r="F769">
        <v>1</v>
      </c>
      <c r="G769">
        <f>COUNTIF(E:E,E769)</f>
        <v>110</v>
      </c>
      <c r="H769">
        <f>COUNTIFS(E:E,E769,A:A,A769,D:D,D769)</f>
        <v>1</v>
      </c>
      <c r="I769" t="e">
        <f>SUMIF([1]Mapeamento!$J:$J,A769,[1]Mapeamento!$L:$L)</f>
        <v>#VALUE!</v>
      </c>
      <c r="J769" s="1" t="e">
        <f>SUMIF('[1]Map_Meso-Ox'!$C:$C,A769,'[1]Map_Meso-Ox'!$D:$D)</f>
        <v>#VALUE!</v>
      </c>
      <c r="K769" s="2" t="e">
        <f t="shared" si="24"/>
        <v>#VALUE!</v>
      </c>
      <c r="L769" s="1" t="e">
        <f>SUMIF('[1]Map_Meso-Ox'!$C:$C,A769,'[1]Map_Meso-Ox'!$E:$E)</f>
        <v>#VALUE!</v>
      </c>
      <c r="M769" s="2" t="e">
        <f t="shared" si="25"/>
        <v>#VALUE!</v>
      </c>
    </row>
    <row r="770" spans="1:13" x14ac:dyDescent="0.25">
      <c r="A770">
        <v>109</v>
      </c>
      <c r="B770">
        <v>3</v>
      </c>
      <c r="C770">
        <v>44.215000000000003</v>
      </c>
      <c r="D770">
        <v>1E-4</v>
      </c>
      <c r="E770" t="s">
        <v>19</v>
      </c>
      <c r="F770">
        <v>1</v>
      </c>
      <c r="G770">
        <f>COUNTIF(E:E,E770)</f>
        <v>110</v>
      </c>
      <c r="H770">
        <f>COUNTIFS(E:E,E770,A:A,A770,D:D,D770)</f>
        <v>1</v>
      </c>
      <c r="I770" t="e">
        <f>SUMIF([1]Mapeamento!$J:$J,A770,[1]Mapeamento!$L:$L)</f>
        <v>#VALUE!</v>
      </c>
      <c r="J770" s="1" t="e">
        <f>SUMIF('[1]Map_Meso-Ox'!$C:$C,A770,'[1]Map_Meso-Ox'!$D:$D)</f>
        <v>#VALUE!</v>
      </c>
      <c r="K770" s="2" t="e">
        <f t="shared" si="24"/>
        <v>#VALUE!</v>
      </c>
      <c r="L770" s="1" t="e">
        <f>SUMIF('[1]Map_Meso-Ox'!$C:$C,A770,'[1]Map_Meso-Ox'!$E:$E)</f>
        <v>#VALUE!</v>
      </c>
      <c r="M770" s="2" t="e">
        <f t="shared" si="25"/>
        <v>#VALUE!</v>
      </c>
    </row>
    <row r="771" spans="1:13" x14ac:dyDescent="0.25">
      <c r="A771">
        <v>110</v>
      </c>
      <c r="B771">
        <v>3</v>
      </c>
      <c r="C771">
        <v>63.072000000000003</v>
      </c>
      <c r="D771">
        <v>0</v>
      </c>
      <c r="E771" t="s">
        <v>19</v>
      </c>
      <c r="F771">
        <v>2</v>
      </c>
      <c r="G771">
        <f>COUNTIF(E:E,E771)</f>
        <v>110</v>
      </c>
      <c r="H771">
        <f>COUNTIFS(E:E,E771,A:A,A771,D:D,D771)</f>
        <v>1</v>
      </c>
      <c r="I771" t="e">
        <f>SUMIF([1]Mapeamento!$J:$J,A771,[1]Mapeamento!$L:$L)</f>
        <v>#VALUE!</v>
      </c>
      <c r="J771" s="1" t="e">
        <f>SUMIF('[1]Map_Meso-Ox'!$C:$C,A771,'[1]Map_Meso-Ox'!$D:$D)</f>
        <v>#VALUE!</v>
      </c>
      <c r="K771" s="2" t="e">
        <f t="shared" si="24"/>
        <v>#VALUE!</v>
      </c>
      <c r="L771" s="1" t="e">
        <f>SUMIF('[1]Map_Meso-Ox'!$C:$C,A771,'[1]Map_Meso-Ox'!$E:$E)</f>
        <v>#VALUE!</v>
      </c>
      <c r="M771" s="2" t="e">
        <f t="shared" si="25"/>
        <v>#VALUE!</v>
      </c>
    </row>
    <row r="772" spans="1:13" x14ac:dyDescent="0.25">
      <c r="A772">
        <v>1</v>
      </c>
      <c r="B772">
        <v>3</v>
      </c>
      <c r="C772">
        <v>77.358000000000004</v>
      </c>
      <c r="D772">
        <v>0</v>
      </c>
      <c r="E772" t="s">
        <v>20</v>
      </c>
      <c r="F772">
        <v>2</v>
      </c>
      <c r="G772">
        <f>COUNTIF(E:E,E772)</f>
        <v>110</v>
      </c>
      <c r="H772">
        <f>COUNTIFS(E:E,E772,A:A,A772,D:D,D772)</f>
        <v>1</v>
      </c>
      <c r="I772" t="e">
        <f>SUMIF([1]Mapeamento!$J:$J,A772,[1]Mapeamento!$L:$L)</f>
        <v>#VALUE!</v>
      </c>
      <c r="J772" s="1" t="e">
        <f>SUMIF('[1]Map_Meso-Ox'!$C:$C,A772,'[1]Map_Meso-Ox'!$D:$D)</f>
        <v>#VALUE!</v>
      </c>
      <c r="K772" s="2" t="e">
        <f t="shared" si="24"/>
        <v>#VALUE!</v>
      </c>
      <c r="L772" s="1" t="e">
        <f>SUMIF('[1]Map_Meso-Ox'!$C:$C,A772,'[1]Map_Meso-Ox'!$E:$E)</f>
        <v>#VALUE!</v>
      </c>
      <c r="M772" s="2" t="e">
        <f t="shared" si="25"/>
        <v>#VALUE!</v>
      </c>
    </row>
    <row r="773" spans="1:13" x14ac:dyDescent="0.25">
      <c r="A773">
        <v>2</v>
      </c>
      <c r="B773">
        <v>3</v>
      </c>
      <c r="C773">
        <v>76.296000000000006</v>
      </c>
      <c r="D773">
        <v>0</v>
      </c>
      <c r="E773" t="s">
        <v>20</v>
      </c>
      <c r="F773">
        <v>2</v>
      </c>
      <c r="G773">
        <f>COUNTIF(E:E,E773)</f>
        <v>110</v>
      </c>
      <c r="H773">
        <f>COUNTIFS(E:E,E773,A:A,A773,D:D,D773)</f>
        <v>1</v>
      </c>
      <c r="I773" t="e">
        <f>SUMIF([1]Mapeamento!$J:$J,A773,[1]Mapeamento!$L:$L)</f>
        <v>#VALUE!</v>
      </c>
      <c r="J773" s="1" t="e">
        <f>SUMIF('[1]Map_Meso-Ox'!$C:$C,A773,'[1]Map_Meso-Ox'!$D:$D)</f>
        <v>#VALUE!</v>
      </c>
      <c r="K773" s="2" t="e">
        <f t="shared" si="24"/>
        <v>#VALUE!</v>
      </c>
      <c r="L773" s="1" t="e">
        <f>SUMIF('[1]Map_Meso-Ox'!$C:$C,A773,'[1]Map_Meso-Ox'!$E:$E)</f>
        <v>#VALUE!</v>
      </c>
      <c r="M773" s="2" t="e">
        <f t="shared" si="25"/>
        <v>#VALUE!</v>
      </c>
    </row>
    <row r="774" spans="1:13" x14ac:dyDescent="0.25">
      <c r="A774">
        <v>3</v>
      </c>
      <c r="B774">
        <v>3</v>
      </c>
      <c r="C774">
        <v>58.485999999999997</v>
      </c>
      <c r="D774">
        <v>0</v>
      </c>
      <c r="E774" t="s">
        <v>20</v>
      </c>
      <c r="F774">
        <v>1</v>
      </c>
      <c r="G774">
        <f>COUNTIF(E:E,E774)</f>
        <v>110</v>
      </c>
      <c r="H774">
        <f>COUNTIFS(E:E,E774,A:A,A774,D:D,D774)</f>
        <v>1</v>
      </c>
      <c r="I774" t="e">
        <f>SUMIF([1]Mapeamento!$J:$J,A774,[1]Mapeamento!$L:$L)</f>
        <v>#VALUE!</v>
      </c>
      <c r="J774" s="1" t="e">
        <f>SUMIF('[1]Map_Meso-Ox'!$C:$C,A774,'[1]Map_Meso-Ox'!$D:$D)</f>
        <v>#VALUE!</v>
      </c>
      <c r="K774" s="2" t="e">
        <f t="shared" si="24"/>
        <v>#VALUE!</v>
      </c>
      <c r="L774" s="1" t="e">
        <f>SUMIF('[1]Map_Meso-Ox'!$C:$C,A774,'[1]Map_Meso-Ox'!$E:$E)</f>
        <v>#VALUE!</v>
      </c>
      <c r="M774" s="2" t="e">
        <f t="shared" si="25"/>
        <v>#VALUE!</v>
      </c>
    </row>
    <row r="775" spans="1:13" x14ac:dyDescent="0.25">
      <c r="A775">
        <v>4</v>
      </c>
      <c r="B775">
        <v>3</v>
      </c>
      <c r="C775">
        <v>79.77</v>
      </c>
      <c r="D775">
        <v>0</v>
      </c>
      <c r="E775" t="s">
        <v>20</v>
      </c>
      <c r="F775">
        <v>1</v>
      </c>
      <c r="G775">
        <f>COUNTIF(E:E,E775)</f>
        <v>110</v>
      </c>
      <c r="H775">
        <f>COUNTIFS(E:E,E775,A:A,A775,D:D,D775)</f>
        <v>1</v>
      </c>
      <c r="I775" t="e">
        <f>SUMIF([1]Mapeamento!$J:$J,A775,[1]Mapeamento!$L:$L)</f>
        <v>#VALUE!</v>
      </c>
      <c r="J775" s="1" t="e">
        <f>SUMIF('[1]Map_Meso-Ox'!$C:$C,A775,'[1]Map_Meso-Ox'!$D:$D)</f>
        <v>#VALUE!</v>
      </c>
      <c r="K775" s="2" t="e">
        <f t="shared" si="24"/>
        <v>#VALUE!</v>
      </c>
      <c r="L775" s="1" t="e">
        <f>SUMIF('[1]Map_Meso-Ox'!$C:$C,A775,'[1]Map_Meso-Ox'!$E:$E)</f>
        <v>#VALUE!</v>
      </c>
      <c r="M775" s="2" t="e">
        <f t="shared" si="25"/>
        <v>#VALUE!</v>
      </c>
    </row>
    <row r="776" spans="1:13" x14ac:dyDescent="0.25">
      <c r="A776">
        <v>5</v>
      </c>
      <c r="B776">
        <v>3</v>
      </c>
      <c r="C776">
        <v>47.692999999999998</v>
      </c>
      <c r="D776">
        <v>0</v>
      </c>
      <c r="E776" t="s">
        <v>20</v>
      </c>
      <c r="F776">
        <v>0</v>
      </c>
      <c r="G776">
        <f>COUNTIF(E:E,E776)</f>
        <v>110</v>
      </c>
      <c r="H776">
        <f>COUNTIFS(E:E,E776,A:A,A776,D:D,D776)</f>
        <v>1</v>
      </c>
      <c r="I776" t="e">
        <f>SUMIF([1]Mapeamento!$J:$J,A776,[1]Mapeamento!$L:$L)</f>
        <v>#VALUE!</v>
      </c>
      <c r="J776" s="1" t="e">
        <f>SUMIF('[1]Map_Meso-Ox'!$C:$C,A776,'[1]Map_Meso-Ox'!$D:$D)</f>
        <v>#VALUE!</v>
      </c>
      <c r="K776" s="2" t="e">
        <f t="shared" si="24"/>
        <v>#VALUE!</v>
      </c>
      <c r="L776" s="1" t="e">
        <f>SUMIF('[1]Map_Meso-Ox'!$C:$C,A776,'[1]Map_Meso-Ox'!$E:$E)</f>
        <v>#VALUE!</v>
      </c>
      <c r="M776" s="2" t="e">
        <f t="shared" si="25"/>
        <v>#VALUE!</v>
      </c>
    </row>
    <row r="777" spans="1:13" x14ac:dyDescent="0.25">
      <c r="A777">
        <v>6</v>
      </c>
      <c r="B777">
        <v>3</v>
      </c>
      <c r="C777">
        <v>55.433</v>
      </c>
      <c r="D777">
        <v>0</v>
      </c>
      <c r="E777" t="s">
        <v>20</v>
      </c>
      <c r="F777">
        <v>1</v>
      </c>
      <c r="G777">
        <f>COUNTIF(E:E,E777)</f>
        <v>110</v>
      </c>
      <c r="H777">
        <f>COUNTIFS(E:E,E777,A:A,A777,D:D,D777)</f>
        <v>1</v>
      </c>
      <c r="I777" t="e">
        <f>SUMIF([1]Mapeamento!$J:$J,A777,[1]Mapeamento!$L:$L)</f>
        <v>#VALUE!</v>
      </c>
      <c r="J777" s="1" t="e">
        <f>SUMIF('[1]Map_Meso-Ox'!$C:$C,A777,'[1]Map_Meso-Ox'!$D:$D)</f>
        <v>#VALUE!</v>
      </c>
      <c r="K777" s="2" t="e">
        <f t="shared" si="24"/>
        <v>#VALUE!</v>
      </c>
      <c r="L777" s="1" t="e">
        <f>SUMIF('[1]Map_Meso-Ox'!$C:$C,A777,'[1]Map_Meso-Ox'!$E:$E)</f>
        <v>#VALUE!</v>
      </c>
      <c r="M777" s="2" t="e">
        <f t="shared" si="25"/>
        <v>#VALUE!</v>
      </c>
    </row>
    <row r="778" spans="1:13" x14ac:dyDescent="0.25">
      <c r="A778">
        <v>7</v>
      </c>
      <c r="B778">
        <v>3</v>
      </c>
      <c r="C778">
        <v>45.243000000000002</v>
      </c>
      <c r="D778">
        <v>1E-4</v>
      </c>
      <c r="E778" t="s">
        <v>20</v>
      </c>
      <c r="F778">
        <v>1</v>
      </c>
      <c r="G778">
        <f>COUNTIF(E:E,E778)</f>
        <v>110</v>
      </c>
      <c r="H778">
        <f>COUNTIFS(E:E,E778,A:A,A778,D:D,D778)</f>
        <v>1</v>
      </c>
      <c r="I778" t="e">
        <f>SUMIF([1]Mapeamento!$J:$J,A778,[1]Mapeamento!$L:$L)</f>
        <v>#VALUE!</v>
      </c>
      <c r="J778" s="1" t="e">
        <f>SUMIF('[1]Map_Meso-Ox'!$C:$C,A778,'[1]Map_Meso-Ox'!$D:$D)</f>
        <v>#VALUE!</v>
      </c>
      <c r="K778" s="2" t="e">
        <f t="shared" si="24"/>
        <v>#VALUE!</v>
      </c>
      <c r="L778" s="1" t="e">
        <f>SUMIF('[1]Map_Meso-Ox'!$C:$C,A778,'[1]Map_Meso-Ox'!$E:$E)</f>
        <v>#VALUE!</v>
      </c>
      <c r="M778" s="2" t="e">
        <f t="shared" si="25"/>
        <v>#VALUE!</v>
      </c>
    </row>
    <row r="779" spans="1:13" x14ac:dyDescent="0.25">
      <c r="A779">
        <v>8</v>
      </c>
      <c r="B779">
        <v>3</v>
      </c>
      <c r="C779">
        <v>44.082999999999998</v>
      </c>
      <c r="D779">
        <v>1E-4</v>
      </c>
      <c r="E779" t="s">
        <v>20</v>
      </c>
      <c r="F779">
        <v>0</v>
      </c>
      <c r="G779">
        <f>COUNTIF(E:E,E779)</f>
        <v>110</v>
      </c>
      <c r="H779">
        <f>COUNTIFS(E:E,E779,A:A,A779,D:D,D779)</f>
        <v>1</v>
      </c>
      <c r="I779" t="e">
        <f>SUMIF([1]Mapeamento!$J:$J,A779,[1]Mapeamento!$L:$L)</f>
        <v>#VALUE!</v>
      </c>
      <c r="J779" s="1" t="e">
        <f>SUMIF('[1]Map_Meso-Ox'!$C:$C,A779,'[1]Map_Meso-Ox'!$D:$D)</f>
        <v>#VALUE!</v>
      </c>
      <c r="K779" s="2" t="e">
        <f t="shared" si="24"/>
        <v>#VALUE!</v>
      </c>
      <c r="L779" s="1" t="e">
        <f>SUMIF('[1]Map_Meso-Ox'!$C:$C,A779,'[1]Map_Meso-Ox'!$E:$E)</f>
        <v>#VALUE!</v>
      </c>
      <c r="M779" s="2" t="e">
        <f t="shared" si="25"/>
        <v>#VALUE!</v>
      </c>
    </row>
    <row r="780" spans="1:13" x14ac:dyDescent="0.25">
      <c r="A780">
        <v>9</v>
      </c>
      <c r="B780">
        <v>3</v>
      </c>
      <c r="C780">
        <v>34.067</v>
      </c>
      <c r="D780">
        <v>3.3E-3</v>
      </c>
      <c r="E780" t="s">
        <v>20</v>
      </c>
      <c r="F780">
        <v>0</v>
      </c>
      <c r="G780">
        <f>COUNTIF(E:E,E780)</f>
        <v>110</v>
      </c>
      <c r="H780">
        <f>COUNTIFS(E:E,E780,A:A,A780,D:D,D780)</f>
        <v>1</v>
      </c>
      <c r="I780" t="e">
        <f>SUMIF([1]Mapeamento!$J:$J,A780,[1]Mapeamento!$L:$L)</f>
        <v>#VALUE!</v>
      </c>
      <c r="J780" s="1" t="e">
        <f>SUMIF('[1]Map_Meso-Ox'!$C:$C,A780,'[1]Map_Meso-Ox'!$D:$D)</f>
        <v>#VALUE!</v>
      </c>
      <c r="K780" s="2" t="e">
        <f t="shared" si="24"/>
        <v>#VALUE!</v>
      </c>
      <c r="L780" s="1" t="e">
        <f>SUMIF('[1]Map_Meso-Ox'!$C:$C,A780,'[1]Map_Meso-Ox'!$E:$E)</f>
        <v>#VALUE!</v>
      </c>
      <c r="M780" s="2" t="e">
        <f t="shared" si="25"/>
        <v>#VALUE!</v>
      </c>
    </row>
    <row r="781" spans="1:13" x14ac:dyDescent="0.25">
      <c r="A781">
        <v>10</v>
      </c>
      <c r="B781">
        <v>3</v>
      </c>
      <c r="C781">
        <v>42.433999999999997</v>
      </c>
      <c r="D781">
        <v>2.0000000000000001E-4</v>
      </c>
      <c r="E781" t="s">
        <v>20</v>
      </c>
      <c r="F781">
        <v>0</v>
      </c>
      <c r="G781">
        <f>COUNTIF(E:E,E781)</f>
        <v>110</v>
      </c>
      <c r="H781">
        <f>COUNTIFS(E:E,E781,A:A,A781,D:D,D781)</f>
        <v>1</v>
      </c>
      <c r="I781" t="e">
        <f>SUMIF([1]Mapeamento!$J:$J,A781,[1]Mapeamento!$L:$L)</f>
        <v>#VALUE!</v>
      </c>
      <c r="J781" s="1" t="e">
        <f>SUMIF('[1]Map_Meso-Ox'!$C:$C,A781,'[1]Map_Meso-Ox'!$D:$D)</f>
        <v>#VALUE!</v>
      </c>
      <c r="K781" s="2" t="e">
        <f t="shared" si="24"/>
        <v>#VALUE!</v>
      </c>
      <c r="L781" s="1" t="e">
        <f>SUMIF('[1]Map_Meso-Ox'!$C:$C,A781,'[1]Map_Meso-Ox'!$E:$E)</f>
        <v>#VALUE!</v>
      </c>
      <c r="M781" s="2" t="e">
        <f t="shared" si="25"/>
        <v>#VALUE!</v>
      </c>
    </row>
    <row r="782" spans="1:13" x14ac:dyDescent="0.25">
      <c r="A782">
        <v>11</v>
      </c>
      <c r="B782">
        <v>3</v>
      </c>
      <c r="C782">
        <v>46.923000000000002</v>
      </c>
      <c r="D782">
        <v>0</v>
      </c>
      <c r="E782" t="s">
        <v>20</v>
      </c>
      <c r="F782">
        <v>0</v>
      </c>
      <c r="G782">
        <f>COUNTIF(E:E,E782)</f>
        <v>110</v>
      </c>
      <c r="H782">
        <f>COUNTIFS(E:E,E782,A:A,A782,D:D,D782)</f>
        <v>1</v>
      </c>
      <c r="I782" t="e">
        <f>SUMIF([1]Mapeamento!$J:$J,A782,[1]Mapeamento!$L:$L)</f>
        <v>#VALUE!</v>
      </c>
      <c r="J782" s="1" t="e">
        <f>SUMIF('[1]Map_Meso-Ox'!$C:$C,A782,'[1]Map_Meso-Ox'!$D:$D)</f>
        <v>#VALUE!</v>
      </c>
      <c r="K782" s="2" t="e">
        <f t="shared" si="24"/>
        <v>#VALUE!</v>
      </c>
      <c r="L782" s="1" t="e">
        <f>SUMIF('[1]Map_Meso-Ox'!$C:$C,A782,'[1]Map_Meso-Ox'!$E:$E)</f>
        <v>#VALUE!</v>
      </c>
      <c r="M782" s="2" t="e">
        <f t="shared" si="25"/>
        <v>#VALUE!</v>
      </c>
    </row>
    <row r="783" spans="1:13" x14ac:dyDescent="0.25">
      <c r="A783">
        <v>12</v>
      </c>
      <c r="B783">
        <v>3</v>
      </c>
      <c r="C783">
        <v>64.444000000000003</v>
      </c>
      <c r="D783">
        <v>0</v>
      </c>
      <c r="E783" t="s">
        <v>20</v>
      </c>
      <c r="F783">
        <v>1</v>
      </c>
      <c r="G783">
        <f>COUNTIF(E:E,E783)</f>
        <v>110</v>
      </c>
      <c r="H783">
        <f>COUNTIFS(E:E,E783,A:A,A783,D:D,D783)</f>
        <v>1</v>
      </c>
      <c r="I783" t="e">
        <f>SUMIF([1]Mapeamento!$J:$J,A783,[1]Mapeamento!$L:$L)</f>
        <v>#VALUE!</v>
      </c>
      <c r="J783" s="1" t="e">
        <f>SUMIF('[1]Map_Meso-Ox'!$C:$C,A783,'[1]Map_Meso-Ox'!$D:$D)</f>
        <v>#VALUE!</v>
      </c>
      <c r="K783" s="2" t="e">
        <f t="shared" si="24"/>
        <v>#VALUE!</v>
      </c>
      <c r="L783" s="1" t="e">
        <f>SUMIF('[1]Map_Meso-Ox'!$C:$C,A783,'[1]Map_Meso-Ox'!$E:$E)</f>
        <v>#VALUE!</v>
      </c>
      <c r="M783" s="2" t="e">
        <f t="shared" si="25"/>
        <v>#VALUE!</v>
      </c>
    </row>
    <row r="784" spans="1:13" x14ac:dyDescent="0.25">
      <c r="A784">
        <v>13</v>
      </c>
      <c r="B784">
        <v>3</v>
      </c>
      <c r="C784">
        <v>68.253</v>
      </c>
      <c r="D784">
        <v>0</v>
      </c>
      <c r="E784" t="s">
        <v>20</v>
      </c>
      <c r="F784">
        <v>1</v>
      </c>
      <c r="G784">
        <f>COUNTIF(E:E,E784)</f>
        <v>110</v>
      </c>
      <c r="H784">
        <f>COUNTIFS(E:E,E784,A:A,A784,D:D,D784)</f>
        <v>1</v>
      </c>
      <c r="I784" t="e">
        <f>SUMIF([1]Mapeamento!$J:$J,A784,[1]Mapeamento!$L:$L)</f>
        <v>#VALUE!</v>
      </c>
      <c r="J784" s="1" t="e">
        <f>SUMIF('[1]Map_Meso-Ox'!$C:$C,A784,'[1]Map_Meso-Ox'!$D:$D)</f>
        <v>#VALUE!</v>
      </c>
      <c r="K784" s="2" t="e">
        <f t="shared" si="24"/>
        <v>#VALUE!</v>
      </c>
      <c r="L784" s="1" t="e">
        <f>SUMIF('[1]Map_Meso-Ox'!$C:$C,A784,'[1]Map_Meso-Ox'!$E:$E)</f>
        <v>#VALUE!</v>
      </c>
      <c r="M784" s="2" t="e">
        <f t="shared" si="25"/>
        <v>#VALUE!</v>
      </c>
    </row>
    <row r="785" spans="1:13" x14ac:dyDescent="0.25">
      <c r="A785">
        <v>14</v>
      </c>
      <c r="B785">
        <v>3</v>
      </c>
      <c r="C785">
        <v>68.111000000000004</v>
      </c>
      <c r="D785">
        <v>0</v>
      </c>
      <c r="E785" t="s">
        <v>20</v>
      </c>
      <c r="F785">
        <v>1</v>
      </c>
      <c r="G785">
        <f>COUNTIF(E:E,E785)</f>
        <v>110</v>
      </c>
      <c r="H785">
        <f>COUNTIFS(E:E,E785,A:A,A785,D:D,D785)</f>
        <v>1</v>
      </c>
      <c r="I785" t="e">
        <f>SUMIF([1]Mapeamento!$J:$J,A785,[1]Mapeamento!$L:$L)</f>
        <v>#VALUE!</v>
      </c>
      <c r="J785" s="1" t="e">
        <f>SUMIF('[1]Map_Meso-Ox'!$C:$C,A785,'[1]Map_Meso-Ox'!$D:$D)</f>
        <v>#VALUE!</v>
      </c>
      <c r="K785" s="2" t="e">
        <f t="shared" si="24"/>
        <v>#VALUE!</v>
      </c>
      <c r="L785" s="1" t="e">
        <f>SUMIF('[1]Map_Meso-Ox'!$C:$C,A785,'[1]Map_Meso-Ox'!$E:$E)</f>
        <v>#VALUE!</v>
      </c>
      <c r="M785" s="2" t="e">
        <f t="shared" si="25"/>
        <v>#VALUE!</v>
      </c>
    </row>
    <row r="786" spans="1:13" x14ac:dyDescent="0.25">
      <c r="A786">
        <v>15</v>
      </c>
      <c r="B786">
        <v>3</v>
      </c>
      <c r="C786">
        <v>55.26</v>
      </c>
      <c r="D786">
        <v>0</v>
      </c>
      <c r="E786" t="s">
        <v>20</v>
      </c>
      <c r="F786">
        <v>0</v>
      </c>
      <c r="G786">
        <f>COUNTIF(E:E,E786)</f>
        <v>110</v>
      </c>
      <c r="H786">
        <f>COUNTIFS(E:E,E786,A:A,A786,D:D,D786)</f>
        <v>1</v>
      </c>
      <c r="I786" t="e">
        <f>SUMIF([1]Mapeamento!$J:$J,A786,[1]Mapeamento!$L:$L)</f>
        <v>#VALUE!</v>
      </c>
      <c r="J786" s="1" t="e">
        <f>SUMIF('[1]Map_Meso-Ox'!$C:$C,A786,'[1]Map_Meso-Ox'!$D:$D)</f>
        <v>#VALUE!</v>
      </c>
      <c r="K786" s="2" t="e">
        <f t="shared" si="24"/>
        <v>#VALUE!</v>
      </c>
      <c r="L786" s="1" t="e">
        <f>SUMIF('[1]Map_Meso-Ox'!$C:$C,A786,'[1]Map_Meso-Ox'!$E:$E)</f>
        <v>#VALUE!</v>
      </c>
      <c r="M786" s="2" t="e">
        <f t="shared" si="25"/>
        <v>#VALUE!</v>
      </c>
    </row>
    <row r="787" spans="1:13" x14ac:dyDescent="0.25">
      <c r="A787">
        <v>16</v>
      </c>
      <c r="B787">
        <v>3</v>
      </c>
      <c r="C787">
        <v>76.649000000000001</v>
      </c>
      <c r="D787">
        <v>0</v>
      </c>
      <c r="E787" t="s">
        <v>20</v>
      </c>
      <c r="F787">
        <v>1</v>
      </c>
      <c r="G787">
        <f>COUNTIF(E:E,E787)</f>
        <v>110</v>
      </c>
      <c r="H787">
        <f>COUNTIFS(E:E,E787,A:A,A787,D:D,D787)</f>
        <v>1</v>
      </c>
      <c r="I787" t="e">
        <f>SUMIF([1]Mapeamento!$J:$J,A787,[1]Mapeamento!$L:$L)</f>
        <v>#VALUE!</v>
      </c>
      <c r="J787" s="1" t="e">
        <f>SUMIF('[1]Map_Meso-Ox'!$C:$C,A787,'[1]Map_Meso-Ox'!$D:$D)</f>
        <v>#VALUE!</v>
      </c>
      <c r="K787" s="2" t="e">
        <f t="shared" si="24"/>
        <v>#VALUE!</v>
      </c>
      <c r="L787" s="1" t="e">
        <f>SUMIF('[1]Map_Meso-Ox'!$C:$C,A787,'[1]Map_Meso-Ox'!$E:$E)</f>
        <v>#VALUE!</v>
      </c>
      <c r="M787" s="2" t="e">
        <f t="shared" si="25"/>
        <v>#VALUE!</v>
      </c>
    </row>
    <row r="788" spans="1:13" x14ac:dyDescent="0.25">
      <c r="A788">
        <v>17</v>
      </c>
      <c r="B788">
        <v>3</v>
      </c>
      <c r="C788">
        <v>77.759</v>
      </c>
      <c r="D788">
        <v>0</v>
      </c>
      <c r="E788" t="s">
        <v>20</v>
      </c>
      <c r="F788">
        <v>3</v>
      </c>
      <c r="G788">
        <f>COUNTIF(E:E,E788)</f>
        <v>110</v>
      </c>
      <c r="H788">
        <f>COUNTIFS(E:E,E788,A:A,A788,D:D,D788)</f>
        <v>1</v>
      </c>
      <c r="I788" t="e">
        <f>SUMIF([1]Mapeamento!$J:$J,A788,[1]Mapeamento!$L:$L)</f>
        <v>#VALUE!</v>
      </c>
      <c r="J788" s="1" t="e">
        <f>SUMIF('[1]Map_Meso-Ox'!$C:$C,A788,'[1]Map_Meso-Ox'!$D:$D)</f>
        <v>#VALUE!</v>
      </c>
      <c r="K788" s="2" t="e">
        <f t="shared" si="24"/>
        <v>#VALUE!</v>
      </c>
      <c r="L788" s="1" t="e">
        <f>SUMIF('[1]Map_Meso-Ox'!$C:$C,A788,'[1]Map_Meso-Ox'!$E:$E)</f>
        <v>#VALUE!</v>
      </c>
      <c r="M788" s="2" t="e">
        <f t="shared" si="25"/>
        <v>#VALUE!</v>
      </c>
    </row>
    <row r="789" spans="1:13" x14ac:dyDescent="0.25">
      <c r="A789">
        <v>18</v>
      </c>
      <c r="B789">
        <v>3</v>
      </c>
      <c r="C789">
        <v>78.241</v>
      </c>
      <c r="D789">
        <v>0</v>
      </c>
      <c r="E789" t="s">
        <v>20</v>
      </c>
      <c r="F789">
        <v>3</v>
      </c>
      <c r="G789">
        <f>COUNTIF(E:E,E789)</f>
        <v>110</v>
      </c>
      <c r="H789">
        <f>COUNTIFS(E:E,E789,A:A,A789,D:D,D789)</f>
        <v>1</v>
      </c>
      <c r="I789" t="e">
        <f>SUMIF([1]Mapeamento!$J:$J,A789,[1]Mapeamento!$L:$L)</f>
        <v>#VALUE!</v>
      </c>
      <c r="J789" s="1" t="e">
        <f>SUMIF('[1]Map_Meso-Ox'!$C:$C,A789,'[1]Map_Meso-Ox'!$D:$D)</f>
        <v>#VALUE!</v>
      </c>
      <c r="K789" s="2" t="e">
        <f t="shared" si="24"/>
        <v>#VALUE!</v>
      </c>
      <c r="L789" s="1" t="e">
        <f>SUMIF('[1]Map_Meso-Ox'!$C:$C,A789,'[1]Map_Meso-Ox'!$E:$E)</f>
        <v>#VALUE!</v>
      </c>
      <c r="M789" s="2" t="e">
        <f t="shared" si="25"/>
        <v>#VALUE!</v>
      </c>
    </row>
    <row r="790" spans="1:13" x14ac:dyDescent="0.25">
      <c r="A790">
        <v>19</v>
      </c>
      <c r="B790">
        <v>3</v>
      </c>
      <c r="C790">
        <v>87.415000000000006</v>
      </c>
      <c r="D790">
        <v>0</v>
      </c>
      <c r="E790" t="s">
        <v>20</v>
      </c>
      <c r="F790">
        <v>2</v>
      </c>
      <c r="G790">
        <f>COUNTIF(E:E,E790)</f>
        <v>110</v>
      </c>
      <c r="H790">
        <f>COUNTIFS(E:E,E790,A:A,A790,D:D,D790)</f>
        <v>1</v>
      </c>
      <c r="I790" t="e">
        <f>SUMIF([1]Mapeamento!$J:$J,A790,[1]Mapeamento!$L:$L)</f>
        <v>#VALUE!</v>
      </c>
      <c r="J790" s="1" t="e">
        <f>SUMIF('[1]Map_Meso-Ox'!$C:$C,A790,'[1]Map_Meso-Ox'!$D:$D)</f>
        <v>#VALUE!</v>
      </c>
      <c r="K790" s="2" t="e">
        <f t="shared" si="24"/>
        <v>#VALUE!</v>
      </c>
      <c r="L790" s="1" t="e">
        <f>SUMIF('[1]Map_Meso-Ox'!$C:$C,A790,'[1]Map_Meso-Ox'!$E:$E)</f>
        <v>#VALUE!</v>
      </c>
      <c r="M790" s="2" t="e">
        <f t="shared" si="25"/>
        <v>#VALUE!</v>
      </c>
    </row>
    <row r="791" spans="1:13" x14ac:dyDescent="0.25">
      <c r="A791">
        <v>20</v>
      </c>
      <c r="B791">
        <v>3</v>
      </c>
      <c r="C791">
        <v>78.710999999999999</v>
      </c>
      <c r="D791">
        <v>0</v>
      </c>
      <c r="E791" t="s">
        <v>20</v>
      </c>
      <c r="F791">
        <v>2</v>
      </c>
      <c r="G791">
        <f>COUNTIF(E:E,E791)</f>
        <v>110</v>
      </c>
      <c r="H791">
        <f>COUNTIFS(E:E,E791,A:A,A791,D:D,D791)</f>
        <v>1</v>
      </c>
      <c r="I791" t="e">
        <f>SUMIF([1]Mapeamento!$J:$J,A791,[1]Mapeamento!$L:$L)</f>
        <v>#VALUE!</v>
      </c>
      <c r="J791" s="1" t="e">
        <f>SUMIF('[1]Map_Meso-Ox'!$C:$C,A791,'[1]Map_Meso-Ox'!$D:$D)</f>
        <v>#VALUE!</v>
      </c>
      <c r="K791" s="2" t="e">
        <f t="shared" si="24"/>
        <v>#VALUE!</v>
      </c>
      <c r="L791" s="1" t="e">
        <f>SUMIF('[1]Map_Meso-Ox'!$C:$C,A791,'[1]Map_Meso-Ox'!$E:$E)</f>
        <v>#VALUE!</v>
      </c>
      <c r="M791" s="2" t="e">
        <f t="shared" si="25"/>
        <v>#VALUE!</v>
      </c>
    </row>
    <row r="792" spans="1:13" x14ac:dyDescent="0.25">
      <c r="A792">
        <v>21</v>
      </c>
      <c r="B792">
        <v>3</v>
      </c>
      <c r="C792">
        <v>69.078999999999994</v>
      </c>
      <c r="D792">
        <v>0</v>
      </c>
      <c r="E792" t="s">
        <v>20</v>
      </c>
      <c r="F792">
        <v>2</v>
      </c>
      <c r="G792">
        <f>COUNTIF(E:E,E792)</f>
        <v>110</v>
      </c>
      <c r="H792">
        <f>COUNTIFS(E:E,E792,A:A,A792,D:D,D792)</f>
        <v>1</v>
      </c>
      <c r="I792" t="e">
        <f>SUMIF([1]Mapeamento!$J:$J,A792,[1]Mapeamento!$L:$L)</f>
        <v>#VALUE!</v>
      </c>
      <c r="J792" s="1" t="e">
        <f>SUMIF('[1]Map_Meso-Ox'!$C:$C,A792,'[1]Map_Meso-Ox'!$D:$D)</f>
        <v>#VALUE!</v>
      </c>
      <c r="K792" s="2" t="e">
        <f t="shared" si="24"/>
        <v>#VALUE!</v>
      </c>
      <c r="L792" s="1" t="e">
        <f>SUMIF('[1]Map_Meso-Ox'!$C:$C,A792,'[1]Map_Meso-Ox'!$E:$E)</f>
        <v>#VALUE!</v>
      </c>
      <c r="M792" s="2" t="e">
        <f t="shared" si="25"/>
        <v>#VALUE!</v>
      </c>
    </row>
    <row r="793" spans="1:13" x14ac:dyDescent="0.25">
      <c r="A793">
        <v>22</v>
      </c>
      <c r="B793">
        <v>3</v>
      </c>
      <c r="C793">
        <v>48.898000000000003</v>
      </c>
      <c r="D793">
        <v>0</v>
      </c>
      <c r="E793" t="s">
        <v>20</v>
      </c>
      <c r="F793">
        <v>3</v>
      </c>
      <c r="G793">
        <f>COUNTIF(E:E,E793)</f>
        <v>110</v>
      </c>
      <c r="H793">
        <f>COUNTIFS(E:E,E793,A:A,A793,D:D,D793)</f>
        <v>1</v>
      </c>
      <c r="I793" t="e">
        <f>SUMIF([1]Mapeamento!$J:$J,A793,[1]Mapeamento!$L:$L)</f>
        <v>#VALUE!</v>
      </c>
      <c r="J793" s="1" t="e">
        <f>SUMIF('[1]Map_Meso-Ox'!$C:$C,A793,'[1]Map_Meso-Ox'!$D:$D)</f>
        <v>#VALUE!</v>
      </c>
      <c r="K793" s="2" t="e">
        <f t="shared" si="24"/>
        <v>#VALUE!</v>
      </c>
      <c r="L793" s="1" t="e">
        <f>SUMIF('[1]Map_Meso-Ox'!$C:$C,A793,'[1]Map_Meso-Ox'!$E:$E)</f>
        <v>#VALUE!</v>
      </c>
      <c r="M793" s="2" t="e">
        <f t="shared" si="25"/>
        <v>#VALUE!</v>
      </c>
    </row>
    <row r="794" spans="1:13" x14ac:dyDescent="0.25">
      <c r="A794">
        <v>23</v>
      </c>
      <c r="B794">
        <v>3</v>
      </c>
      <c r="C794">
        <v>66.024000000000001</v>
      </c>
      <c r="D794">
        <v>0</v>
      </c>
      <c r="E794" t="s">
        <v>20</v>
      </c>
      <c r="F794">
        <v>1</v>
      </c>
      <c r="G794">
        <f>COUNTIF(E:E,E794)</f>
        <v>110</v>
      </c>
      <c r="H794">
        <f>COUNTIFS(E:E,E794,A:A,A794,D:D,D794)</f>
        <v>1</v>
      </c>
      <c r="I794" t="e">
        <f>SUMIF([1]Mapeamento!$J:$J,A794,[1]Mapeamento!$L:$L)</f>
        <v>#VALUE!</v>
      </c>
      <c r="J794" s="1" t="e">
        <f>SUMIF('[1]Map_Meso-Ox'!$C:$C,A794,'[1]Map_Meso-Ox'!$D:$D)</f>
        <v>#VALUE!</v>
      </c>
      <c r="K794" s="2" t="e">
        <f t="shared" si="24"/>
        <v>#VALUE!</v>
      </c>
      <c r="L794" s="1" t="e">
        <f>SUMIF('[1]Map_Meso-Ox'!$C:$C,A794,'[1]Map_Meso-Ox'!$E:$E)</f>
        <v>#VALUE!</v>
      </c>
      <c r="M794" s="2" t="e">
        <f t="shared" si="25"/>
        <v>#VALUE!</v>
      </c>
    </row>
    <row r="795" spans="1:13" x14ac:dyDescent="0.25">
      <c r="A795">
        <v>24</v>
      </c>
      <c r="B795">
        <v>3</v>
      </c>
      <c r="C795">
        <v>61.173999999999999</v>
      </c>
      <c r="D795">
        <v>0</v>
      </c>
      <c r="E795" t="s">
        <v>20</v>
      </c>
      <c r="F795">
        <v>1</v>
      </c>
      <c r="G795">
        <f>COUNTIF(E:E,E795)</f>
        <v>110</v>
      </c>
      <c r="H795">
        <f>COUNTIFS(E:E,E795,A:A,A795,D:D,D795)</f>
        <v>1</v>
      </c>
      <c r="I795" t="e">
        <f>SUMIF([1]Mapeamento!$J:$J,A795,[1]Mapeamento!$L:$L)</f>
        <v>#VALUE!</v>
      </c>
      <c r="J795" s="1" t="e">
        <f>SUMIF('[1]Map_Meso-Ox'!$C:$C,A795,'[1]Map_Meso-Ox'!$D:$D)</f>
        <v>#VALUE!</v>
      </c>
      <c r="K795" s="2" t="e">
        <f t="shared" si="24"/>
        <v>#VALUE!</v>
      </c>
      <c r="L795" s="1" t="e">
        <f>SUMIF('[1]Map_Meso-Ox'!$C:$C,A795,'[1]Map_Meso-Ox'!$E:$E)</f>
        <v>#VALUE!</v>
      </c>
      <c r="M795" s="2" t="e">
        <f t="shared" si="25"/>
        <v>#VALUE!</v>
      </c>
    </row>
    <row r="796" spans="1:13" x14ac:dyDescent="0.25">
      <c r="A796">
        <v>25</v>
      </c>
      <c r="B796">
        <v>3</v>
      </c>
      <c r="C796">
        <v>46.692999999999998</v>
      </c>
      <c r="D796">
        <v>0</v>
      </c>
      <c r="E796" t="s">
        <v>20</v>
      </c>
      <c r="F796">
        <v>1</v>
      </c>
      <c r="G796">
        <f>COUNTIF(E:E,E796)</f>
        <v>110</v>
      </c>
      <c r="H796">
        <f>COUNTIFS(E:E,E796,A:A,A796,D:D,D796)</f>
        <v>1</v>
      </c>
      <c r="I796" t="e">
        <f>SUMIF([1]Mapeamento!$J:$J,A796,[1]Mapeamento!$L:$L)</f>
        <v>#VALUE!</v>
      </c>
      <c r="J796" s="1" t="e">
        <f>SUMIF('[1]Map_Meso-Ox'!$C:$C,A796,'[1]Map_Meso-Ox'!$D:$D)</f>
        <v>#VALUE!</v>
      </c>
      <c r="K796" s="2" t="e">
        <f t="shared" si="24"/>
        <v>#VALUE!</v>
      </c>
      <c r="L796" s="1" t="e">
        <f>SUMIF('[1]Map_Meso-Ox'!$C:$C,A796,'[1]Map_Meso-Ox'!$E:$E)</f>
        <v>#VALUE!</v>
      </c>
      <c r="M796" s="2" t="e">
        <f t="shared" si="25"/>
        <v>#VALUE!</v>
      </c>
    </row>
    <row r="797" spans="1:13" x14ac:dyDescent="0.25">
      <c r="A797">
        <v>26</v>
      </c>
      <c r="B797">
        <v>3</v>
      </c>
      <c r="C797">
        <v>92.111999999999995</v>
      </c>
      <c r="D797">
        <v>0</v>
      </c>
      <c r="E797" t="s">
        <v>20</v>
      </c>
      <c r="F797">
        <v>2</v>
      </c>
      <c r="G797">
        <f>COUNTIF(E:E,E797)</f>
        <v>110</v>
      </c>
      <c r="H797">
        <f>COUNTIFS(E:E,E797,A:A,A797,D:D,D797)</f>
        <v>1</v>
      </c>
      <c r="I797" t="e">
        <f>SUMIF([1]Mapeamento!$J:$J,A797,[1]Mapeamento!$L:$L)</f>
        <v>#VALUE!</v>
      </c>
      <c r="J797" s="1" t="e">
        <f>SUMIF('[1]Map_Meso-Ox'!$C:$C,A797,'[1]Map_Meso-Ox'!$D:$D)</f>
        <v>#VALUE!</v>
      </c>
      <c r="K797" s="2" t="e">
        <f t="shared" si="24"/>
        <v>#VALUE!</v>
      </c>
      <c r="L797" s="1" t="e">
        <f>SUMIF('[1]Map_Meso-Ox'!$C:$C,A797,'[1]Map_Meso-Ox'!$E:$E)</f>
        <v>#VALUE!</v>
      </c>
      <c r="M797" s="2" t="e">
        <f t="shared" si="25"/>
        <v>#VALUE!</v>
      </c>
    </row>
    <row r="798" spans="1:13" x14ac:dyDescent="0.25">
      <c r="A798">
        <v>27</v>
      </c>
      <c r="B798">
        <v>3</v>
      </c>
      <c r="C798">
        <v>50.058</v>
      </c>
      <c r="D798">
        <v>0</v>
      </c>
      <c r="E798" t="s">
        <v>20</v>
      </c>
      <c r="F798">
        <v>0</v>
      </c>
      <c r="G798">
        <f>COUNTIF(E:E,E798)</f>
        <v>110</v>
      </c>
      <c r="H798">
        <f>COUNTIFS(E:E,E798,A:A,A798,D:D,D798)</f>
        <v>1</v>
      </c>
      <c r="I798" t="e">
        <f>SUMIF([1]Mapeamento!$J:$J,A798,[1]Mapeamento!$L:$L)</f>
        <v>#VALUE!</v>
      </c>
      <c r="J798" s="1" t="e">
        <f>SUMIF('[1]Map_Meso-Ox'!$C:$C,A798,'[1]Map_Meso-Ox'!$D:$D)</f>
        <v>#VALUE!</v>
      </c>
      <c r="K798" s="2" t="e">
        <f t="shared" si="24"/>
        <v>#VALUE!</v>
      </c>
      <c r="L798" s="1" t="e">
        <f>SUMIF('[1]Map_Meso-Ox'!$C:$C,A798,'[1]Map_Meso-Ox'!$E:$E)</f>
        <v>#VALUE!</v>
      </c>
      <c r="M798" s="2" t="e">
        <f t="shared" si="25"/>
        <v>#VALUE!</v>
      </c>
    </row>
    <row r="799" spans="1:13" x14ac:dyDescent="0.25">
      <c r="A799">
        <v>28</v>
      </c>
      <c r="B799">
        <v>3</v>
      </c>
      <c r="C799">
        <v>66.052000000000007</v>
      </c>
      <c r="D799">
        <v>0</v>
      </c>
      <c r="E799" t="s">
        <v>20</v>
      </c>
      <c r="F799">
        <v>2</v>
      </c>
      <c r="G799">
        <f>COUNTIF(E:E,E799)</f>
        <v>110</v>
      </c>
      <c r="H799">
        <f>COUNTIFS(E:E,E799,A:A,A799,D:D,D799)</f>
        <v>1</v>
      </c>
      <c r="I799" t="e">
        <f>SUMIF([1]Mapeamento!$J:$J,A799,[1]Mapeamento!$L:$L)</f>
        <v>#VALUE!</v>
      </c>
      <c r="J799" s="1" t="e">
        <f>SUMIF('[1]Map_Meso-Ox'!$C:$C,A799,'[1]Map_Meso-Ox'!$D:$D)</f>
        <v>#VALUE!</v>
      </c>
      <c r="K799" s="2" t="e">
        <f t="shared" si="24"/>
        <v>#VALUE!</v>
      </c>
      <c r="L799" s="1" t="e">
        <f>SUMIF('[1]Map_Meso-Ox'!$C:$C,A799,'[1]Map_Meso-Ox'!$E:$E)</f>
        <v>#VALUE!</v>
      </c>
      <c r="M799" s="2" t="e">
        <f t="shared" si="25"/>
        <v>#VALUE!</v>
      </c>
    </row>
    <row r="800" spans="1:13" x14ac:dyDescent="0.25">
      <c r="A800">
        <v>29</v>
      </c>
      <c r="B800">
        <v>3</v>
      </c>
      <c r="C800">
        <v>65.781000000000006</v>
      </c>
      <c r="D800">
        <v>0</v>
      </c>
      <c r="E800" t="s">
        <v>20</v>
      </c>
      <c r="F800">
        <v>1</v>
      </c>
      <c r="G800">
        <f>COUNTIF(E:E,E800)</f>
        <v>110</v>
      </c>
      <c r="H800">
        <f>COUNTIFS(E:E,E800,A:A,A800,D:D,D800)</f>
        <v>1</v>
      </c>
      <c r="I800" t="e">
        <f>SUMIF([1]Mapeamento!$J:$J,A800,[1]Mapeamento!$L:$L)</f>
        <v>#VALUE!</v>
      </c>
      <c r="J800" s="1" t="e">
        <f>SUMIF('[1]Map_Meso-Ox'!$C:$C,A800,'[1]Map_Meso-Ox'!$D:$D)</f>
        <v>#VALUE!</v>
      </c>
      <c r="K800" s="2" t="e">
        <f t="shared" si="24"/>
        <v>#VALUE!</v>
      </c>
      <c r="L800" s="1" t="e">
        <f>SUMIF('[1]Map_Meso-Ox'!$C:$C,A800,'[1]Map_Meso-Ox'!$E:$E)</f>
        <v>#VALUE!</v>
      </c>
      <c r="M800" s="2" t="e">
        <f t="shared" si="25"/>
        <v>#VALUE!</v>
      </c>
    </row>
    <row r="801" spans="1:13" x14ac:dyDescent="0.25">
      <c r="A801">
        <v>30</v>
      </c>
      <c r="B801">
        <v>3</v>
      </c>
      <c r="C801">
        <v>60.807000000000002</v>
      </c>
      <c r="D801">
        <v>0</v>
      </c>
      <c r="E801" t="s">
        <v>20</v>
      </c>
      <c r="F801">
        <v>1</v>
      </c>
      <c r="G801">
        <f>COUNTIF(E:E,E801)</f>
        <v>110</v>
      </c>
      <c r="H801">
        <f>COUNTIFS(E:E,E801,A:A,A801,D:D,D801)</f>
        <v>1</v>
      </c>
      <c r="I801" t="e">
        <f>SUMIF([1]Mapeamento!$J:$J,A801,[1]Mapeamento!$L:$L)</f>
        <v>#VALUE!</v>
      </c>
      <c r="J801" s="1" t="e">
        <f>SUMIF('[1]Map_Meso-Ox'!$C:$C,A801,'[1]Map_Meso-Ox'!$D:$D)</f>
        <v>#VALUE!</v>
      </c>
      <c r="K801" s="2" t="e">
        <f t="shared" si="24"/>
        <v>#VALUE!</v>
      </c>
      <c r="L801" s="1" t="e">
        <f>SUMIF('[1]Map_Meso-Ox'!$C:$C,A801,'[1]Map_Meso-Ox'!$E:$E)</f>
        <v>#VALUE!</v>
      </c>
      <c r="M801" s="2" t="e">
        <f t="shared" si="25"/>
        <v>#VALUE!</v>
      </c>
    </row>
    <row r="802" spans="1:13" x14ac:dyDescent="0.25">
      <c r="A802">
        <v>31</v>
      </c>
      <c r="B802">
        <v>3</v>
      </c>
      <c r="C802">
        <v>90.558000000000007</v>
      </c>
      <c r="D802">
        <v>0</v>
      </c>
      <c r="E802" t="s">
        <v>20</v>
      </c>
      <c r="F802">
        <v>1</v>
      </c>
      <c r="G802">
        <f>COUNTIF(E:E,E802)</f>
        <v>110</v>
      </c>
      <c r="H802">
        <f>COUNTIFS(E:E,E802,A:A,A802,D:D,D802)</f>
        <v>1</v>
      </c>
      <c r="I802" t="e">
        <f>SUMIF([1]Mapeamento!$J:$J,A802,[1]Mapeamento!$L:$L)</f>
        <v>#VALUE!</v>
      </c>
      <c r="J802" s="1" t="e">
        <f>SUMIF('[1]Map_Meso-Ox'!$C:$C,A802,'[1]Map_Meso-Ox'!$D:$D)</f>
        <v>#VALUE!</v>
      </c>
      <c r="K802" s="2" t="e">
        <f t="shared" si="24"/>
        <v>#VALUE!</v>
      </c>
      <c r="L802" s="1" t="e">
        <f>SUMIF('[1]Map_Meso-Ox'!$C:$C,A802,'[1]Map_Meso-Ox'!$E:$E)</f>
        <v>#VALUE!</v>
      </c>
      <c r="M802" s="2" t="e">
        <f t="shared" si="25"/>
        <v>#VALUE!</v>
      </c>
    </row>
    <row r="803" spans="1:13" x14ac:dyDescent="0.25">
      <c r="A803">
        <v>32</v>
      </c>
      <c r="B803">
        <v>3</v>
      </c>
      <c r="C803">
        <v>77.888999999999996</v>
      </c>
      <c r="D803">
        <v>0</v>
      </c>
      <c r="E803" t="s">
        <v>20</v>
      </c>
      <c r="F803">
        <v>1</v>
      </c>
      <c r="G803">
        <f>COUNTIF(E:E,E803)</f>
        <v>110</v>
      </c>
      <c r="H803">
        <f>COUNTIFS(E:E,E803,A:A,A803,D:D,D803)</f>
        <v>1</v>
      </c>
      <c r="I803" t="e">
        <f>SUMIF([1]Mapeamento!$J:$J,A803,[1]Mapeamento!$L:$L)</f>
        <v>#VALUE!</v>
      </c>
      <c r="J803" s="1" t="e">
        <f>SUMIF('[1]Map_Meso-Ox'!$C:$C,A803,'[1]Map_Meso-Ox'!$D:$D)</f>
        <v>#VALUE!</v>
      </c>
      <c r="K803" s="2" t="e">
        <f t="shared" si="24"/>
        <v>#VALUE!</v>
      </c>
      <c r="L803" s="1" t="e">
        <f>SUMIF('[1]Map_Meso-Ox'!$C:$C,A803,'[1]Map_Meso-Ox'!$E:$E)</f>
        <v>#VALUE!</v>
      </c>
      <c r="M803" s="2" t="e">
        <f t="shared" si="25"/>
        <v>#VALUE!</v>
      </c>
    </row>
    <row r="804" spans="1:13" x14ac:dyDescent="0.25">
      <c r="A804">
        <v>33</v>
      </c>
      <c r="B804">
        <v>3</v>
      </c>
      <c r="C804">
        <v>38.935000000000002</v>
      </c>
      <c r="D804">
        <v>6.9999999999999999E-4</v>
      </c>
      <c r="E804" t="s">
        <v>20</v>
      </c>
      <c r="F804">
        <v>0</v>
      </c>
      <c r="G804">
        <f>COUNTIF(E:E,E804)</f>
        <v>110</v>
      </c>
      <c r="H804">
        <f>COUNTIFS(E:E,E804,A:A,A804,D:D,D804)</f>
        <v>1</v>
      </c>
      <c r="I804" t="e">
        <f>SUMIF([1]Mapeamento!$J:$J,A804,[1]Mapeamento!$L:$L)</f>
        <v>#VALUE!</v>
      </c>
      <c r="J804" s="1" t="e">
        <f>SUMIF('[1]Map_Meso-Ox'!$C:$C,A804,'[1]Map_Meso-Ox'!$D:$D)</f>
        <v>#VALUE!</v>
      </c>
      <c r="K804" s="2" t="e">
        <f t="shared" si="24"/>
        <v>#VALUE!</v>
      </c>
      <c r="L804" s="1" t="e">
        <f>SUMIF('[1]Map_Meso-Ox'!$C:$C,A804,'[1]Map_Meso-Ox'!$E:$E)</f>
        <v>#VALUE!</v>
      </c>
      <c r="M804" s="2" t="e">
        <f t="shared" si="25"/>
        <v>#VALUE!</v>
      </c>
    </row>
    <row r="805" spans="1:13" x14ac:dyDescent="0.25">
      <c r="A805">
        <v>34</v>
      </c>
      <c r="B805">
        <v>3</v>
      </c>
      <c r="C805">
        <v>62.283999999999999</v>
      </c>
      <c r="D805">
        <v>0</v>
      </c>
      <c r="E805" t="s">
        <v>20</v>
      </c>
      <c r="F805">
        <v>2</v>
      </c>
      <c r="G805">
        <f>COUNTIF(E:E,E805)</f>
        <v>110</v>
      </c>
      <c r="H805">
        <f>COUNTIFS(E:E,E805,A:A,A805,D:D,D805)</f>
        <v>1</v>
      </c>
      <c r="I805" t="e">
        <f>SUMIF([1]Mapeamento!$J:$J,A805,[1]Mapeamento!$L:$L)</f>
        <v>#VALUE!</v>
      </c>
      <c r="J805" s="1" t="e">
        <f>SUMIF('[1]Map_Meso-Ox'!$C:$C,A805,'[1]Map_Meso-Ox'!$D:$D)</f>
        <v>#VALUE!</v>
      </c>
      <c r="K805" s="2" t="e">
        <f t="shared" si="24"/>
        <v>#VALUE!</v>
      </c>
      <c r="L805" s="1" t="e">
        <f>SUMIF('[1]Map_Meso-Ox'!$C:$C,A805,'[1]Map_Meso-Ox'!$E:$E)</f>
        <v>#VALUE!</v>
      </c>
      <c r="M805" s="2" t="e">
        <f t="shared" si="25"/>
        <v>#VALUE!</v>
      </c>
    </row>
    <row r="806" spans="1:13" x14ac:dyDescent="0.25">
      <c r="A806">
        <v>35</v>
      </c>
      <c r="B806">
        <v>3</v>
      </c>
      <c r="C806">
        <v>38.451000000000001</v>
      </c>
      <c r="D806">
        <v>8.0000000000000004E-4</v>
      </c>
      <c r="E806" t="s">
        <v>20</v>
      </c>
      <c r="F806">
        <v>0</v>
      </c>
      <c r="G806">
        <f>COUNTIF(E:E,E806)</f>
        <v>110</v>
      </c>
      <c r="H806">
        <f>COUNTIFS(E:E,E806,A:A,A806,D:D,D806)</f>
        <v>1</v>
      </c>
      <c r="I806" t="e">
        <f>SUMIF([1]Mapeamento!$J:$J,A806,[1]Mapeamento!$L:$L)</f>
        <v>#VALUE!</v>
      </c>
      <c r="J806" s="1" t="e">
        <f>SUMIF('[1]Map_Meso-Ox'!$C:$C,A806,'[1]Map_Meso-Ox'!$D:$D)</f>
        <v>#VALUE!</v>
      </c>
      <c r="K806" s="2" t="e">
        <f t="shared" si="24"/>
        <v>#VALUE!</v>
      </c>
      <c r="L806" s="1" t="e">
        <f>SUMIF('[1]Map_Meso-Ox'!$C:$C,A806,'[1]Map_Meso-Ox'!$E:$E)</f>
        <v>#VALUE!</v>
      </c>
      <c r="M806" s="2" t="e">
        <f t="shared" si="25"/>
        <v>#VALUE!</v>
      </c>
    </row>
    <row r="807" spans="1:13" x14ac:dyDescent="0.25">
      <c r="A807">
        <v>36</v>
      </c>
      <c r="B807">
        <v>3</v>
      </c>
      <c r="C807">
        <v>72.385999999999996</v>
      </c>
      <c r="D807">
        <v>0</v>
      </c>
      <c r="E807" t="s">
        <v>20</v>
      </c>
      <c r="F807">
        <v>2</v>
      </c>
      <c r="G807">
        <f>COUNTIF(E:E,E807)</f>
        <v>110</v>
      </c>
      <c r="H807">
        <f>COUNTIFS(E:E,E807,A:A,A807,D:D,D807)</f>
        <v>1</v>
      </c>
      <c r="I807" t="e">
        <f>SUMIF([1]Mapeamento!$J:$J,A807,[1]Mapeamento!$L:$L)</f>
        <v>#VALUE!</v>
      </c>
      <c r="J807" s="1" t="e">
        <f>SUMIF('[1]Map_Meso-Ox'!$C:$C,A807,'[1]Map_Meso-Ox'!$D:$D)</f>
        <v>#VALUE!</v>
      </c>
      <c r="K807" s="2" t="e">
        <f t="shared" si="24"/>
        <v>#VALUE!</v>
      </c>
      <c r="L807" s="1" t="e">
        <f>SUMIF('[1]Map_Meso-Ox'!$C:$C,A807,'[1]Map_Meso-Ox'!$E:$E)</f>
        <v>#VALUE!</v>
      </c>
      <c r="M807" s="2" t="e">
        <f t="shared" si="25"/>
        <v>#VALUE!</v>
      </c>
    </row>
    <row r="808" spans="1:13" x14ac:dyDescent="0.25">
      <c r="A808">
        <v>37</v>
      </c>
      <c r="B808">
        <v>3</v>
      </c>
      <c r="C808">
        <v>60.453000000000003</v>
      </c>
      <c r="D808">
        <v>0</v>
      </c>
      <c r="E808" t="s">
        <v>20</v>
      </c>
      <c r="F808">
        <v>1</v>
      </c>
      <c r="G808">
        <f>COUNTIF(E:E,E808)</f>
        <v>110</v>
      </c>
      <c r="H808">
        <f>COUNTIFS(E:E,E808,A:A,A808,D:D,D808)</f>
        <v>1</v>
      </c>
      <c r="I808" t="e">
        <f>SUMIF([1]Mapeamento!$J:$J,A808,[1]Mapeamento!$L:$L)</f>
        <v>#VALUE!</v>
      </c>
      <c r="J808" s="1" t="e">
        <f>SUMIF('[1]Map_Meso-Ox'!$C:$C,A808,'[1]Map_Meso-Ox'!$D:$D)</f>
        <v>#VALUE!</v>
      </c>
      <c r="K808" s="2" t="e">
        <f t="shared" ref="K808:K871" si="26">J808/203401269</f>
        <v>#VALUE!</v>
      </c>
      <c r="L808" s="1" t="e">
        <f>SUMIF('[1]Map_Meso-Ox'!$C:$C,A808,'[1]Map_Meso-Ox'!$E:$E)</f>
        <v>#VALUE!</v>
      </c>
      <c r="M808" s="2" t="e">
        <f t="shared" ref="M808:M871" si="27">L808/3868725997.715</f>
        <v>#VALUE!</v>
      </c>
    </row>
    <row r="809" spans="1:13" x14ac:dyDescent="0.25">
      <c r="A809">
        <v>38</v>
      </c>
      <c r="B809">
        <v>3</v>
      </c>
      <c r="C809">
        <v>34.843000000000004</v>
      </c>
      <c r="D809">
        <v>2.5999999999999999E-3</v>
      </c>
      <c r="E809" t="s">
        <v>20</v>
      </c>
      <c r="F809">
        <v>0</v>
      </c>
      <c r="G809">
        <f>COUNTIF(E:E,E809)</f>
        <v>110</v>
      </c>
      <c r="H809">
        <f>COUNTIFS(E:E,E809,A:A,A809,D:D,D809)</f>
        <v>1</v>
      </c>
      <c r="I809" t="e">
        <f>SUMIF([1]Mapeamento!$J:$J,A809,[1]Mapeamento!$L:$L)</f>
        <v>#VALUE!</v>
      </c>
      <c r="J809" s="1" t="e">
        <f>SUMIF('[1]Map_Meso-Ox'!$C:$C,A809,'[1]Map_Meso-Ox'!$D:$D)</f>
        <v>#VALUE!</v>
      </c>
      <c r="K809" s="2" t="e">
        <f t="shared" si="26"/>
        <v>#VALUE!</v>
      </c>
      <c r="L809" s="1" t="e">
        <f>SUMIF('[1]Map_Meso-Ox'!$C:$C,A809,'[1]Map_Meso-Ox'!$E:$E)</f>
        <v>#VALUE!</v>
      </c>
      <c r="M809" s="2" t="e">
        <f t="shared" si="27"/>
        <v>#VALUE!</v>
      </c>
    </row>
    <row r="810" spans="1:13" x14ac:dyDescent="0.25">
      <c r="A810">
        <v>39</v>
      </c>
      <c r="B810">
        <v>3</v>
      </c>
      <c r="C810">
        <v>46.837000000000003</v>
      </c>
      <c r="D810">
        <v>0</v>
      </c>
      <c r="E810" t="s">
        <v>20</v>
      </c>
      <c r="F810">
        <v>1</v>
      </c>
      <c r="G810">
        <f>COUNTIF(E:E,E810)</f>
        <v>110</v>
      </c>
      <c r="H810">
        <f>COUNTIFS(E:E,E810,A:A,A810,D:D,D810)</f>
        <v>1</v>
      </c>
      <c r="I810" t="e">
        <f>SUMIF([1]Mapeamento!$J:$J,A810,[1]Mapeamento!$L:$L)</f>
        <v>#VALUE!</v>
      </c>
      <c r="J810" s="1" t="e">
        <f>SUMIF('[1]Map_Meso-Ox'!$C:$C,A810,'[1]Map_Meso-Ox'!$D:$D)</f>
        <v>#VALUE!</v>
      </c>
      <c r="K810" s="2" t="e">
        <f t="shared" si="26"/>
        <v>#VALUE!</v>
      </c>
      <c r="L810" s="1" t="e">
        <f>SUMIF('[1]Map_Meso-Ox'!$C:$C,A810,'[1]Map_Meso-Ox'!$E:$E)</f>
        <v>#VALUE!</v>
      </c>
      <c r="M810" s="2" t="e">
        <f t="shared" si="27"/>
        <v>#VALUE!</v>
      </c>
    </row>
    <row r="811" spans="1:13" x14ac:dyDescent="0.25">
      <c r="A811">
        <v>40</v>
      </c>
      <c r="B811">
        <v>3</v>
      </c>
      <c r="C811">
        <v>64.59</v>
      </c>
      <c r="D811">
        <v>0</v>
      </c>
      <c r="E811" t="s">
        <v>20</v>
      </c>
      <c r="F811">
        <v>1</v>
      </c>
      <c r="G811">
        <f>COUNTIF(E:E,E811)</f>
        <v>110</v>
      </c>
      <c r="H811">
        <f>COUNTIFS(E:E,E811,A:A,A811,D:D,D811)</f>
        <v>1</v>
      </c>
      <c r="I811" t="e">
        <f>SUMIF([1]Mapeamento!$J:$J,A811,[1]Mapeamento!$L:$L)</f>
        <v>#VALUE!</v>
      </c>
      <c r="J811" s="1" t="e">
        <f>SUMIF('[1]Map_Meso-Ox'!$C:$C,A811,'[1]Map_Meso-Ox'!$D:$D)</f>
        <v>#VALUE!</v>
      </c>
      <c r="K811" s="2" t="e">
        <f t="shared" si="26"/>
        <v>#VALUE!</v>
      </c>
      <c r="L811" s="1" t="e">
        <f>SUMIF('[1]Map_Meso-Ox'!$C:$C,A811,'[1]Map_Meso-Ox'!$E:$E)</f>
        <v>#VALUE!</v>
      </c>
      <c r="M811" s="2" t="e">
        <f t="shared" si="27"/>
        <v>#VALUE!</v>
      </c>
    </row>
    <row r="812" spans="1:13" x14ac:dyDescent="0.25">
      <c r="A812">
        <v>41</v>
      </c>
      <c r="B812">
        <v>3</v>
      </c>
      <c r="C812">
        <v>71.911000000000001</v>
      </c>
      <c r="D812">
        <v>0</v>
      </c>
      <c r="E812" t="s">
        <v>20</v>
      </c>
      <c r="F812">
        <v>1</v>
      </c>
      <c r="G812">
        <f>COUNTIF(E:E,E812)</f>
        <v>110</v>
      </c>
      <c r="H812">
        <f>COUNTIFS(E:E,E812,A:A,A812,D:D,D812)</f>
        <v>1</v>
      </c>
      <c r="I812" t="e">
        <f>SUMIF([1]Mapeamento!$J:$J,A812,[1]Mapeamento!$L:$L)</f>
        <v>#VALUE!</v>
      </c>
      <c r="J812" s="1" t="e">
        <f>SUMIF('[1]Map_Meso-Ox'!$C:$C,A812,'[1]Map_Meso-Ox'!$D:$D)</f>
        <v>#VALUE!</v>
      </c>
      <c r="K812" s="2" t="e">
        <f t="shared" si="26"/>
        <v>#VALUE!</v>
      </c>
      <c r="L812" s="1" t="e">
        <f>SUMIF('[1]Map_Meso-Ox'!$C:$C,A812,'[1]Map_Meso-Ox'!$E:$E)</f>
        <v>#VALUE!</v>
      </c>
      <c r="M812" s="2" t="e">
        <f t="shared" si="27"/>
        <v>#VALUE!</v>
      </c>
    </row>
    <row r="813" spans="1:13" x14ac:dyDescent="0.25">
      <c r="A813">
        <v>42</v>
      </c>
      <c r="B813">
        <v>3</v>
      </c>
      <c r="C813">
        <v>56.319000000000003</v>
      </c>
      <c r="D813">
        <v>0</v>
      </c>
      <c r="E813" t="s">
        <v>20</v>
      </c>
      <c r="F813">
        <v>0</v>
      </c>
      <c r="G813">
        <f>COUNTIF(E:E,E813)</f>
        <v>110</v>
      </c>
      <c r="H813">
        <f>COUNTIFS(E:E,E813,A:A,A813,D:D,D813)</f>
        <v>1</v>
      </c>
      <c r="I813" t="e">
        <f>SUMIF([1]Mapeamento!$J:$J,A813,[1]Mapeamento!$L:$L)</f>
        <v>#VALUE!</v>
      </c>
      <c r="J813" s="1" t="e">
        <f>SUMIF('[1]Map_Meso-Ox'!$C:$C,A813,'[1]Map_Meso-Ox'!$D:$D)</f>
        <v>#VALUE!</v>
      </c>
      <c r="K813" s="2" t="e">
        <f t="shared" si="26"/>
        <v>#VALUE!</v>
      </c>
      <c r="L813" s="1" t="e">
        <f>SUMIF('[1]Map_Meso-Ox'!$C:$C,A813,'[1]Map_Meso-Ox'!$E:$E)</f>
        <v>#VALUE!</v>
      </c>
      <c r="M813" s="2" t="e">
        <f t="shared" si="27"/>
        <v>#VALUE!</v>
      </c>
    </row>
    <row r="814" spans="1:13" x14ac:dyDescent="0.25">
      <c r="A814">
        <v>43</v>
      </c>
      <c r="B814">
        <v>3</v>
      </c>
      <c r="C814">
        <v>29.15</v>
      </c>
      <c r="D814">
        <v>1.54E-2</v>
      </c>
      <c r="E814" t="s">
        <v>20</v>
      </c>
      <c r="F814">
        <v>0</v>
      </c>
      <c r="G814">
        <f>COUNTIF(E:E,E814)</f>
        <v>110</v>
      </c>
      <c r="H814">
        <f>COUNTIFS(E:E,E814,A:A,A814,D:D,D814)</f>
        <v>1</v>
      </c>
      <c r="I814" t="e">
        <f>SUMIF([1]Mapeamento!$J:$J,A814,[1]Mapeamento!$L:$L)</f>
        <v>#VALUE!</v>
      </c>
      <c r="J814" s="1" t="e">
        <f>SUMIF('[1]Map_Meso-Ox'!$C:$C,A814,'[1]Map_Meso-Ox'!$D:$D)</f>
        <v>#VALUE!</v>
      </c>
      <c r="K814" s="2" t="e">
        <f t="shared" si="26"/>
        <v>#VALUE!</v>
      </c>
      <c r="L814" s="1" t="e">
        <f>SUMIF('[1]Map_Meso-Ox'!$C:$C,A814,'[1]Map_Meso-Ox'!$E:$E)</f>
        <v>#VALUE!</v>
      </c>
      <c r="M814" s="2" t="e">
        <f t="shared" si="27"/>
        <v>#VALUE!</v>
      </c>
    </row>
    <row r="815" spans="1:13" x14ac:dyDescent="0.25">
      <c r="A815">
        <v>44</v>
      </c>
      <c r="B815">
        <v>3</v>
      </c>
      <c r="C815">
        <v>35.136000000000003</v>
      </c>
      <c r="D815">
        <v>2.3999999999999998E-3</v>
      </c>
      <c r="E815" t="s">
        <v>20</v>
      </c>
      <c r="F815">
        <v>0</v>
      </c>
      <c r="G815">
        <f>COUNTIF(E:E,E815)</f>
        <v>110</v>
      </c>
      <c r="H815">
        <f>COUNTIFS(E:E,E815,A:A,A815,D:D,D815)</f>
        <v>1</v>
      </c>
      <c r="I815" t="e">
        <f>SUMIF([1]Mapeamento!$J:$J,A815,[1]Mapeamento!$L:$L)</f>
        <v>#VALUE!</v>
      </c>
      <c r="J815" s="1" t="e">
        <f>SUMIF('[1]Map_Meso-Ox'!$C:$C,A815,'[1]Map_Meso-Ox'!$D:$D)</f>
        <v>#VALUE!</v>
      </c>
      <c r="K815" s="2" t="e">
        <f t="shared" si="26"/>
        <v>#VALUE!</v>
      </c>
      <c r="L815" s="1" t="e">
        <f>SUMIF('[1]Map_Meso-Ox'!$C:$C,A815,'[1]Map_Meso-Ox'!$E:$E)</f>
        <v>#VALUE!</v>
      </c>
      <c r="M815" s="2" t="e">
        <f t="shared" si="27"/>
        <v>#VALUE!</v>
      </c>
    </row>
    <row r="816" spans="1:13" x14ac:dyDescent="0.25">
      <c r="A816">
        <v>45</v>
      </c>
      <c r="B816">
        <v>3</v>
      </c>
      <c r="C816">
        <v>51.439</v>
      </c>
      <c r="D816">
        <v>0</v>
      </c>
      <c r="E816" t="s">
        <v>20</v>
      </c>
      <c r="F816">
        <v>2</v>
      </c>
      <c r="G816">
        <f>COUNTIF(E:E,E816)</f>
        <v>110</v>
      </c>
      <c r="H816">
        <f>COUNTIFS(E:E,E816,A:A,A816,D:D,D816)</f>
        <v>1</v>
      </c>
      <c r="I816" t="e">
        <f>SUMIF([1]Mapeamento!$J:$J,A816,[1]Mapeamento!$L:$L)</f>
        <v>#VALUE!</v>
      </c>
      <c r="J816" s="1" t="e">
        <f>SUMIF('[1]Map_Meso-Ox'!$C:$C,A816,'[1]Map_Meso-Ox'!$D:$D)</f>
        <v>#VALUE!</v>
      </c>
      <c r="K816" s="2" t="e">
        <f t="shared" si="26"/>
        <v>#VALUE!</v>
      </c>
      <c r="L816" s="1" t="e">
        <f>SUMIF('[1]Map_Meso-Ox'!$C:$C,A816,'[1]Map_Meso-Ox'!$E:$E)</f>
        <v>#VALUE!</v>
      </c>
      <c r="M816" s="2" t="e">
        <f t="shared" si="27"/>
        <v>#VALUE!</v>
      </c>
    </row>
    <row r="817" spans="1:13" x14ac:dyDescent="0.25">
      <c r="A817">
        <v>46</v>
      </c>
      <c r="B817">
        <v>3</v>
      </c>
      <c r="C817">
        <v>58.246000000000002</v>
      </c>
      <c r="D817">
        <v>0</v>
      </c>
      <c r="E817" t="s">
        <v>20</v>
      </c>
      <c r="F817">
        <v>0</v>
      </c>
      <c r="G817">
        <f>COUNTIF(E:E,E817)</f>
        <v>110</v>
      </c>
      <c r="H817">
        <f>COUNTIFS(E:E,E817,A:A,A817,D:D,D817)</f>
        <v>1</v>
      </c>
      <c r="I817" t="e">
        <f>SUMIF([1]Mapeamento!$J:$J,A817,[1]Mapeamento!$L:$L)</f>
        <v>#VALUE!</v>
      </c>
      <c r="J817" s="1" t="e">
        <f>SUMIF('[1]Map_Meso-Ox'!$C:$C,A817,'[1]Map_Meso-Ox'!$D:$D)</f>
        <v>#VALUE!</v>
      </c>
      <c r="K817" s="2" t="e">
        <f t="shared" si="26"/>
        <v>#VALUE!</v>
      </c>
      <c r="L817" s="1" t="e">
        <f>SUMIF('[1]Map_Meso-Ox'!$C:$C,A817,'[1]Map_Meso-Ox'!$E:$E)</f>
        <v>#VALUE!</v>
      </c>
      <c r="M817" s="2" t="e">
        <f t="shared" si="27"/>
        <v>#VALUE!</v>
      </c>
    </row>
    <row r="818" spans="1:13" x14ac:dyDescent="0.25">
      <c r="A818">
        <v>47</v>
      </c>
      <c r="B818">
        <v>3</v>
      </c>
      <c r="C818">
        <v>43.914000000000001</v>
      </c>
      <c r="D818">
        <v>1E-4</v>
      </c>
      <c r="E818" t="s">
        <v>20</v>
      </c>
      <c r="F818">
        <v>0</v>
      </c>
      <c r="G818">
        <f>COUNTIF(E:E,E818)</f>
        <v>110</v>
      </c>
      <c r="H818">
        <f>COUNTIFS(E:E,E818,A:A,A818,D:D,D818)</f>
        <v>1</v>
      </c>
      <c r="I818" t="e">
        <f>SUMIF([1]Mapeamento!$J:$J,A818,[1]Mapeamento!$L:$L)</f>
        <v>#VALUE!</v>
      </c>
      <c r="J818" s="1" t="e">
        <f>SUMIF('[1]Map_Meso-Ox'!$C:$C,A818,'[1]Map_Meso-Ox'!$D:$D)</f>
        <v>#VALUE!</v>
      </c>
      <c r="K818" s="2" t="e">
        <f t="shared" si="26"/>
        <v>#VALUE!</v>
      </c>
      <c r="L818" s="1" t="e">
        <f>SUMIF('[1]Map_Meso-Ox'!$C:$C,A818,'[1]Map_Meso-Ox'!$E:$E)</f>
        <v>#VALUE!</v>
      </c>
      <c r="M818" s="2" t="e">
        <f t="shared" si="27"/>
        <v>#VALUE!</v>
      </c>
    </row>
    <row r="819" spans="1:13" x14ac:dyDescent="0.25">
      <c r="A819">
        <v>48</v>
      </c>
      <c r="B819">
        <v>3</v>
      </c>
      <c r="C819">
        <v>51.405000000000001</v>
      </c>
      <c r="D819">
        <v>0</v>
      </c>
      <c r="E819" t="s">
        <v>20</v>
      </c>
      <c r="F819">
        <v>0</v>
      </c>
      <c r="G819">
        <f>COUNTIF(E:E,E819)</f>
        <v>110</v>
      </c>
      <c r="H819">
        <f>COUNTIFS(E:E,E819,A:A,A819,D:D,D819)</f>
        <v>1</v>
      </c>
      <c r="I819" t="e">
        <f>SUMIF([1]Mapeamento!$J:$J,A819,[1]Mapeamento!$L:$L)</f>
        <v>#VALUE!</v>
      </c>
      <c r="J819" s="1" t="e">
        <f>SUMIF('[1]Map_Meso-Ox'!$C:$C,A819,'[1]Map_Meso-Ox'!$D:$D)</f>
        <v>#VALUE!</v>
      </c>
      <c r="K819" s="2" t="e">
        <f t="shared" si="26"/>
        <v>#VALUE!</v>
      </c>
      <c r="L819" s="1" t="e">
        <f>SUMIF('[1]Map_Meso-Ox'!$C:$C,A819,'[1]Map_Meso-Ox'!$E:$E)</f>
        <v>#VALUE!</v>
      </c>
      <c r="M819" s="2" t="e">
        <f t="shared" si="27"/>
        <v>#VALUE!</v>
      </c>
    </row>
    <row r="820" spans="1:13" x14ac:dyDescent="0.25">
      <c r="A820">
        <v>49</v>
      </c>
      <c r="B820">
        <v>3</v>
      </c>
      <c r="C820">
        <v>38.061</v>
      </c>
      <c r="D820">
        <v>8.9999999999999998E-4</v>
      </c>
      <c r="E820" t="s">
        <v>20</v>
      </c>
      <c r="F820">
        <v>0</v>
      </c>
      <c r="G820">
        <f>COUNTIF(E:E,E820)</f>
        <v>110</v>
      </c>
      <c r="H820">
        <f>COUNTIFS(E:E,E820,A:A,A820,D:D,D820)</f>
        <v>1</v>
      </c>
      <c r="I820" t="e">
        <f>SUMIF([1]Mapeamento!$J:$J,A820,[1]Mapeamento!$L:$L)</f>
        <v>#VALUE!</v>
      </c>
      <c r="J820" s="1" t="e">
        <f>SUMIF('[1]Map_Meso-Ox'!$C:$C,A820,'[1]Map_Meso-Ox'!$D:$D)</f>
        <v>#VALUE!</v>
      </c>
      <c r="K820" s="2" t="e">
        <f t="shared" si="26"/>
        <v>#VALUE!</v>
      </c>
      <c r="L820" s="1" t="e">
        <f>SUMIF('[1]Map_Meso-Ox'!$C:$C,A820,'[1]Map_Meso-Ox'!$E:$E)</f>
        <v>#VALUE!</v>
      </c>
      <c r="M820" s="2" t="e">
        <f t="shared" si="27"/>
        <v>#VALUE!</v>
      </c>
    </row>
    <row r="821" spans="1:13" x14ac:dyDescent="0.25">
      <c r="A821">
        <v>50</v>
      </c>
      <c r="B821">
        <v>3</v>
      </c>
      <c r="C821">
        <v>37.892000000000003</v>
      </c>
      <c r="D821">
        <v>8.9999999999999998E-4</v>
      </c>
      <c r="E821" t="s">
        <v>20</v>
      </c>
      <c r="F821">
        <v>0</v>
      </c>
      <c r="G821">
        <f>COUNTIF(E:E,E821)</f>
        <v>110</v>
      </c>
      <c r="H821">
        <f>COUNTIFS(E:E,E821,A:A,A821,D:D,D821)</f>
        <v>1</v>
      </c>
      <c r="I821" t="e">
        <f>SUMIF([1]Mapeamento!$J:$J,A821,[1]Mapeamento!$L:$L)</f>
        <v>#VALUE!</v>
      </c>
      <c r="J821" s="1" t="e">
        <f>SUMIF('[1]Map_Meso-Ox'!$C:$C,A821,'[1]Map_Meso-Ox'!$D:$D)</f>
        <v>#VALUE!</v>
      </c>
      <c r="K821" s="2" t="e">
        <f t="shared" si="26"/>
        <v>#VALUE!</v>
      </c>
      <c r="L821" s="1" t="e">
        <f>SUMIF('[1]Map_Meso-Ox'!$C:$C,A821,'[1]Map_Meso-Ox'!$E:$E)</f>
        <v>#VALUE!</v>
      </c>
      <c r="M821" s="2" t="e">
        <f t="shared" si="27"/>
        <v>#VALUE!</v>
      </c>
    </row>
    <row r="822" spans="1:13" x14ac:dyDescent="0.25">
      <c r="A822">
        <v>51</v>
      </c>
      <c r="B822">
        <v>3</v>
      </c>
      <c r="C822">
        <v>32.173999999999999</v>
      </c>
      <c r="D822">
        <v>6.1000000000000004E-3</v>
      </c>
      <c r="E822" t="s">
        <v>20</v>
      </c>
      <c r="F822">
        <v>0</v>
      </c>
      <c r="G822">
        <f>COUNTIF(E:E,E822)</f>
        <v>110</v>
      </c>
      <c r="H822">
        <f>COUNTIFS(E:E,E822,A:A,A822,D:D,D822)</f>
        <v>1</v>
      </c>
      <c r="I822" t="e">
        <f>SUMIF([1]Mapeamento!$J:$J,A822,[1]Mapeamento!$L:$L)</f>
        <v>#VALUE!</v>
      </c>
      <c r="J822" s="1" t="e">
        <f>SUMIF('[1]Map_Meso-Ox'!$C:$C,A822,'[1]Map_Meso-Ox'!$D:$D)</f>
        <v>#VALUE!</v>
      </c>
      <c r="K822" s="2" t="e">
        <f t="shared" si="26"/>
        <v>#VALUE!</v>
      </c>
      <c r="L822" s="1" t="e">
        <f>SUMIF('[1]Map_Meso-Ox'!$C:$C,A822,'[1]Map_Meso-Ox'!$E:$E)</f>
        <v>#VALUE!</v>
      </c>
      <c r="M822" s="2" t="e">
        <f t="shared" si="27"/>
        <v>#VALUE!</v>
      </c>
    </row>
    <row r="823" spans="1:13" x14ac:dyDescent="0.25">
      <c r="A823">
        <v>52</v>
      </c>
      <c r="B823">
        <v>3</v>
      </c>
      <c r="C823">
        <v>53.691000000000003</v>
      </c>
      <c r="D823">
        <v>0</v>
      </c>
      <c r="E823" t="s">
        <v>20</v>
      </c>
      <c r="F823">
        <v>1</v>
      </c>
      <c r="G823">
        <f>COUNTIF(E:E,E823)</f>
        <v>110</v>
      </c>
      <c r="H823">
        <f>COUNTIFS(E:E,E823,A:A,A823,D:D,D823)</f>
        <v>1</v>
      </c>
      <c r="I823" t="e">
        <f>SUMIF([1]Mapeamento!$J:$J,A823,[1]Mapeamento!$L:$L)</f>
        <v>#VALUE!</v>
      </c>
      <c r="J823" s="1" t="e">
        <f>SUMIF('[1]Map_Meso-Ox'!$C:$C,A823,'[1]Map_Meso-Ox'!$D:$D)</f>
        <v>#VALUE!</v>
      </c>
      <c r="K823" s="2" t="e">
        <f t="shared" si="26"/>
        <v>#VALUE!</v>
      </c>
      <c r="L823" s="1" t="e">
        <f>SUMIF('[1]Map_Meso-Ox'!$C:$C,A823,'[1]Map_Meso-Ox'!$E:$E)</f>
        <v>#VALUE!</v>
      </c>
      <c r="M823" s="2" t="e">
        <f t="shared" si="27"/>
        <v>#VALUE!</v>
      </c>
    </row>
    <row r="824" spans="1:13" x14ac:dyDescent="0.25">
      <c r="A824">
        <v>53</v>
      </c>
      <c r="B824">
        <v>3</v>
      </c>
      <c r="C824">
        <v>62.627000000000002</v>
      </c>
      <c r="D824">
        <v>0</v>
      </c>
      <c r="E824" t="s">
        <v>20</v>
      </c>
      <c r="F824">
        <v>3</v>
      </c>
      <c r="G824">
        <f>COUNTIF(E:E,E824)</f>
        <v>110</v>
      </c>
      <c r="H824">
        <f>COUNTIFS(E:E,E824,A:A,A824,D:D,D824)</f>
        <v>1</v>
      </c>
      <c r="I824" t="e">
        <f>SUMIF([1]Mapeamento!$J:$J,A824,[1]Mapeamento!$L:$L)</f>
        <v>#VALUE!</v>
      </c>
      <c r="J824" s="1" t="e">
        <f>SUMIF('[1]Map_Meso-Ox'!$C:$C,A824,'[1]Map_Meso-Ox'!$D:$D)</f>
        <v>#VALUE!</v>
      </c>
      <c r="K824" s="2" t="e">
        <f t="shared" si="26"/>
        <v>#VALUE!</v>
      </c>
      <c r="L824" s="1" t="e">
        <f>SUMIF('[1]Map_Meso-Ox'!$C:$C,A824,'[1]Map_Meso-Ox'!$E:$E)</f>
        <v>#VALUE!</v>
      </c>
      <c r="M824" s="2" t="e">
        <f t="shared" si="27"/>
        <v>#VALUE!</v>
      </c>
    </row>
    <row r="825" spans="1:13" x14ac:dyDescent="0.25">
      <c r="A825">
        <v>54</v>
      </c>
      <c r="B825">
        <v>3</v>
      </c>
      <c r="C825">
        <v>53.542999999999999</v>
      </c>
      <c r="D825">
        <v>0</v>
      </c>
      <c r="E825" t="s">
        <v>20</v>
      </c>
      <c r="F825">
        <v>1</v>
      </c>
      <c r="G825">
        <f>COUNTIF(E:E,E825)</f>
        <v>110</v>
      </c>
      <c r="H825">
        <f>COUNTIFS(E:E,E825,A:A,A825,D:D,D825)</f>
        <v>1</v>
      </c>
      <c r="I825" t="e">
        <f>SUMIF([1]Mapeamento!$J:$J,A825,[1]Mapeamento!$L:$L)</f>
        <v>#VALUE!</v>
      </c>
      <c r="J825" s="1" t="e">
        <f>SUMIF('[1]Map_Meso-Ox'!$C:$C,A825,'[1]Map_Meso-Ox'!$D:$D)</f>
        <v>#VALUE!</v>
      </c>
      <c r="K825" s="2" t="e">
        <f t="shared" si="26"/>
        <v>#VALUE!</v>
      </c>
      <c r="L825" s="1" t="e">
        <f>SUMIF('[1]Map_Meso-Ox'!$C:$C,A825,'[1]Map_Meso-Ox'!$E:$E)</f>
        <v>#VALUE!</v>
      </c>
      <c r="M825" s="2" t="e">
        <f t="shared" si="27"/>
        <v>#VALUE!</v>
      </c>
    </row>
    <row r="826" spans="1:13" x14ac:dyDescent="0.25">
      <c r="A826">
        <v>55</v>
      </c>
      <c r="B826">
        <v>3</v>
      </c>
      <c r="C826">
        <v>48.070999999999998</v>
      </c>
      <c r="D826">
        <v>0</v>
      </c>
      <c r="E826" t="s">
        <v>20</v>
      </c>
      <c r="F826">
        <v>1</v>
      </c>
      <c r="G826">
        <f>COUNTIF(E:E,E826)</f>
        <v>110</v>
      </c>
      <c r="H826">
        <f>COUNTIFS(E:E,E826,A:A,A826,D:D,D826)</f>
        <v>1</v>
      </c>
      <c r="I826" t="e">
        <f>SUMIF([1]Mapeamento!$J:$J,A826,[1]Mapeamento!$L:$L)</f>
        <v>#VALUE!</v>
      </c>
      <c r="J826" s="1" t="e">
        <f>SUMIF('[1]Map_Meso-Ox'!$C:$C,A826,'[1]Map_Meso-Ox'!$D:$D)</f>
        <v>#VALUE!</v>
      </c>
      <c r="K826" s="2" t="e">
        <f t="shared" si="26"/>
        <v>#VALUE!</v>
      </c>
      <c r="L826" s="1" t="e">
        <f>SUMIF('[1]Map_Meso-Ox'!$C:$C,A826,'[1]Map_Meso-Ox'!$E:$E)</f>
        <v>#VALUE!</v>
      </c>
      <c r="M826" s="2" t="e">
        <f t="shared" si="27"/>
        <v>#VALUE!</v>
      </c>
    </row>
    <row r="827" spans="1:13" x14ac:dyDescent="0.25">
      <c r="A827">
        <v>56</v>
      </c>
      <c r="B827">
        <v>3</v>
      </c>
      <c r="C827">
        <v>75.980999999999995</v>
      </c>
      <c r="D827">
        <v>0</v>
      </c>
      <c r="E827" t="s">
        <v>20</v>
      </c>
      <c r="F827">
        <v>1</v>
      </c>
      <c r="G827">
        <f>COUNTIF(E:E,E827)</f>
        <v>110</v>
      </c>
      <c r="H827">
        <f>COUNTIFS(E:E,E827,A:A,A827,D:D,D827)</f>
        <v>1</v>
      </c>
      <c r="I827" t="e">
        <f>SUMIF([1]Mapeamento!$J:$J,A827,[1]Mapeamento!$L:$L)</f>
        <v>#VALUE!</v>
      </c>
      <c r="J827" s="1" t="e">
        <f>SUMIF('[1]Map_Meso-Ox'!$C:$C,A827,'[1]Map_Meso-Ox'!$D:$D)</f>
        <v>#VALUE!</v>
      </c>
      <c r="K827" s="2" t="e">
        <f t="shared" si="26"/>
        <v>#VALUE!</v>
      </c>
      <c r="L827" s="1" t="e">
        <f>SUMIF('[1]Map_Meso-Ox'!$C:$C,A827,'[1]Map_Meso-Ox'!$E:$E)</f>
        <v>#VALUE!</v>
      </c>
      <c r="M827" s="2" t="e">
        <f t="shared" si="27"/>
        <v>#VALUE!</v>
      </c>
    </row>
    <row r="828" spans="1:13" x14ac:dyDescent="0.25">
      <c r="A828">
        <v>57</v>
      </c>
      <c r="B828">
        <v>3</v>
      </c>
      <c r="C828">
        <v>50.003999999999998</v>
      </c>
      <c r="D828">
        <v>0</v>
      </c>
      <c r="E828" t="s">
        <v>20</v>
      </c>
      <c r="F828">
        <v>0</v>
      </c>
      <c r="G828">
        <f>COUNTIF(E:E,E828)</f>
        <v>110</v>
      </c>
      <c r="H828">
        <f>COUNTIFS(E:E,E828,A:A,A828,D:D,D828)</f>
        <v>1</v>
      </c>
      <c r="I828" t="e">
        <f>SUMIF([1]Mapeamento!$J:$J,A828,[1]Mapeamento!$L:$L)</f>
        <v>#VALUE!</v>
      </c>
      <c r="J828" s="1" t="e">
        <f>SUMIF('[1]Map_Meso-Ox'!$C:$C,A828,'[1]Map_Meso-Ox'!$D:$D)</f>
        <v>#VALUE!</v>
      </c>
      <c r="K828" s="2" t="e">
        <f t="shared" si="26"/>
        <v>#VALUE!</v>
      </c>
      <c r="L828" s="1" t="e">
        <f>SUMIF('[1]Map_Meso-Ox'!$C:$C,A828,'[1]Map_Meso-Ox'!$E:$E)</f>
        <v>#VALUE!</v>
      </c>
      <c r="M828" s="2" t="e">
        <f t="shared" si="27"/>
        <v>#VALUE!</v>
      </c>
    </row>
    <row r="829" spans="1:13" x14ac:dyDescent="0.25">
      <c r="A829">
        <v>58</v>
      </c>
      <c r="B829">
        <v>3</v>
      </c>
      <c r="C829">
        <v>58.55</v>
      </c>
      <c r="D829">
        <v>0</v>
      </c>
      <c r="E829" t="s">
        <v>20</v>
      </c>
      <c r="F829">
        <v>1</v>
      </c>
      <c r="G829">
        <f>COUNTIF(E:E,E829)</f>
        <v>110</v>
      </c>
      <c r="H829">
        <f>COUNTIFS(E:E,E829,A:A,A829,D:D,D829)</f>
        <v>1</v>
      </c>
      <c r="I829" t="e">
        <f>SUMIF([1]Mapeamento!$J:$J,A829,[1]Mapeamento!$L:$L)</f>
        <v>#VALUE!</v>
      </c>
      <c r="J829" s="1" t="e">
        <f>SUMIF('[1]Map_Meso-Ox'!$C:$C,A829,'[1]Map_Meso-Ox'!$D:$D)</f>
        <v>#VALUE!</v>
      </c>
      <c r="K829" s="2" t="e">
        <f t="shared" si="26"/>
        <v>#VALUE!</v>
      </c>
      <c r="L829" s="1" t="e">
        <f>SUMIF('[1]Map_Meso-Ox'!$C:$C,A829,'[1]Map_Meso-Ox'!$E:$E)</f>
        <v>#VALUE!</v>
      </c>
      <c r="M829" s="2" t="e">
        <f t="shared" si="27"/>
        <v>#VALUE!</v>
      </c>
    </row>
    <row r="830" spans="1:13" x14ac:dyDescent="0.25">
      <c r="A830">
        <v>59</v>
      </c>
      <c r="B830">
        <v>3</v>
      </c>
      <c r="C830">
        <v>62.052</v>
      </c>
      <c r="D830">
        <v>0</v>
      </c>
      <c r="E830" t="s">
        <v>20</v>
      </c>
      <c r="F830">
        <v>1</v>
      </c>
      <c r="G830">
        <f>COUNTIF(E:E,E830)</f>
        <v>110</v>
      </c>
      <c r="H830">
        <f>COUNTIFS(E:E,E830,A:A,A830,D:D,D830)</f>
        <v>1</v>
      </c>
      <c r="I830" t="e">
        <f>SUMIF([1]Mapeamento!$J:$J,A830,[1]Mapeamento!$L:$L)</f>
        <v>#VALUE!</v>
      </c>
      <c r="J830" s="1" t="e">
        <f>SUMIF('[1]Map_Meso-Ox'!$C:$C,A830,'[1]Map_Meso-Ox'!$D:$D)</f>
        <v>#VALUE!</v>
      </c>
      <c r="K830" s="2" t="e">
        <f t="shared" si="26"/>
        <v>#VALUE!</v>
      </c>
      <c r="L830" s="1" t="e">
        <f>SUMIF('[1]Map_Meso-Ox'!$C:$C,A830,'[1]Map_Meso-Ox'!$E:$E)</f>
        <v>#VALUE!</v>
      </c>
      <c r="M830" s="2" t="e">
        <f t="shared" si="27"/>
        <v>#VALUE!</v>
      </c>
    </row>
    <row r="831" spans="1:13" x14ac:dyDescent="0.25">
      <c r="A831">
        <v>60</v>
      </c>
      <c r="B831">
        <v>3</v>
      </c>
      <c r="C831">
        <v>53.305</v>
      </c>
      <c r="D831">
        <v>0</v>
      </c>
      <c r="E831" t="s">
        <v>20</v>
      </c>
      <c r="F831">
        <v>1</v>
      </c>
      <c r="G831">
        <f>COUNTIF(E:E,E831)</f>
        <v>110</v>
      </c>
      <c r="H831">
        <f>COUNTIFS(E:E,E831,A:A,A831,D:D,D831)</f>
        <v>1</v>
      </c>
      <c r="I831" t="e">
        <f>SUMIF([1]Mapeamento!$J:$J,A831,[1]Mapeamento!$L:$L)</f>
        <v>#VALUE!</v>
      </c>
      <c r="J831" s="1" t="e">
        <f>SUMIF('[1]Map_Meso-Ox'!$C:$C,A831,'[1]Map_Meso-Ox'!$D:$D)</f>
        <v>#VALUE!</v>
      </c>
      <c r="K831" s="2" t="e">
        <f t="shared" si="26"/>
        <v>#VALUE!</v>
      </c>
      <c r="L831" s="1" t="e">
        <f>SUMIF('[1]Map_Meso-Ox'!$C:$C,A831,'[1]Map_Meso-Ox'!$E:$E)</f>
        <v>#VALUE!</v>
      </c>
      <c r="M831" s="2" t="e">
        <f t="shared" si="27"/>
        <v>#VALUE!</v>
      </c>
    </row>
    <row r="832" spans="1:13" x14ac:dyDescent="0.25">
      <c r="A832">
        <v>61</v>
      </c>
      <c r="B832">
        <v>3</v>
      </c>
      <c r="C832">
        <v>42.976999999999997</v>
      </c>
      <c r="D832">
        <v>2.0000000000000001E-4</v>
      </c>
      <c r="E832" t="s">
        <v>20</v>
      </c>
      <c r="F832">
        <v>0</v>
      </c>
      <c r="G832">
        <f>COUNTIF(E:E,E832)</f>
        <v>110</v>
      </c>
      <c r="H832">
        <f>COUNTIFS(E:E,E832,A:A,A832,D:D,D832)</f>
        <v>1</v>
      </c>
      <c r="I832" t="e">
        <f>SUMIF([1]Mapeamento!$J:$J,A832,[1]Mapeamento!$L:$L)</f>
        <v>#VALUE!</v>
      </c>
      <c r="J832" s="1" t="e">
        <f>SUMIF('[1]Map_Meso-Ox'!$C:$C,A832,'[1]Map_Meso-Ox'!$D:$D)</f>
        <v>#VALUE!</v>
      </c>
      <c r="K832" s="2" t="e">
        <f t="shared" si="26"/>
        <v>#VALUE!</v>
      </c>
      <c r="L832" s="1" t="e">
        <f>SUMIF('[1]Map_Meso-Ox'!$C:$C,A832,'[1]Map_Meso-Ox'!$E:$E)</f>
        <v>#VALUE!</v>
      </c>
      <c r="M832" s="2" t="e">
        <f t="shared" si="27"/>
        <v>#VALUE!</v>
      </c>
    </row>
    <row r="833" spans="1:13" x14ac:dyDescent="0.25">
      <c r="A833">
        <v>62</v>
      </c>
      <c r="B833">
        <v>3</v>
      </c>
      <c r="C833">
        <v>73.55</v>
      </c>
      <c r="D833">
        <v>0</v>
      </c>
      <c r="E833" t="s">
        <v>20</v>
      </c>
      <c r="F833">
        <v>1</v>
      </c>
      <c r="G833">
        <f>COUNTIF(E:E,E833)</f>
        <v>110</v>
      </c>
      <c r="H833">
        <f>COUNTIFS(E:E,E833,A:A,A833,D:D,D833)</f>
        <v>1</v>
      </c>
      <c r="I833" t="e">
        <f>SUMIF([1]Mapeamento!$J:$J,A833,[1]Mapeamento!$L:$L)</f>
        <v>#VALUE!</v>
      </c>
      <c r="J833" s="1" t="e">
        <f>SUMIF('[1]Map_Meso-Ox'!$C:$C,A833,'[1]Map_Meso-Ox'!$D:$D)</f>
        <v>#VALUE!</v>
      </c>
      <c r="K833" s="2" t="e">
        <f t="shared" si="26"/>
        <v>#VALUE!</v>
      </c>
      <c r="L833" s="1" t="e">
        <f>SUMIF('[1]Map_Meso-Ox'!$C:$C,A833,'[1]Map_Meso-Ox'!$E:$E)</f>
        <v>#VALUE!</v>
      </c>
      <c r="M833" s="2" t="e">
        <f t="shared" si="27"/>
        <v>#VALUE!</v>
      </c>
    </row>
    <row r="834" spans="1:13" x14ac:dyDescent="0.25">
      <c r="A834">
        <v>63</v>
      </c>
      <c r="B834">
        <v>3</v>
      </c>
      <c r="C834">
        <v>41.960999999999999</v>
      </c>
      <c r="D834">
        <v>2.0000000000000001E-4</v>
      </c>
      <c r="E834" t="s">
        <v>20</v>
      </c>
      <c r="F834">
        <v>1</v>
      </c>
      <c r="G834">
        <f>COUNTIF(E:E,E834)</f>
        <v>110</v>
      </c>
      <c r="H834">
        <f>COUNTIFS(E:E,E834,A:A,A834,D:D,D834)</f>
        <v>1</v>
      </c>
      <c r="I834" t="e">
        <f>SUMIF([1]Mapeamento!$J:$J,A834,[1]Mapeamento!$L:$L)</f>
        <v>#VALUE!</v>
      </c>
      <c r="J834" s="1" t="e">
        <f>SUMIF('[1]Map_Meso-Ox'!$C:$C,A834,'[1]Map_Meso-Ox'!$D:$D)</f>
        <v>#VALUE!</v>
      </c>
      <c r="K834" s="2" t="e">
        <f t="shared" si="26"/>
        <v>#VALUE!</v>
      </c>
      <c r="L834" s="1" t="e">
        <f>SUMIF('[1]Map_Meso-Ox'!$C:$C,A834,'[1]Map_Meso-Ox'!$E:$E)</f>
        <v>#VALUE!</v>
      </c>
      <c r="M834" s="2" t="e">
        <f t="shared" si="27"/>
        <v>#VALUE!</v>
      </c>
    </row>
    <row r="835" spans="1:13" x14ac:dyDescent="0.25">
      <c r="A835">
        <v>64</v>
      </c>
      <c r="B835">
        <v>3</v>
      </c>
      <c r="C835">
        <v>34.445</v>
      </c>
      <c r="D835">
        <v>2.8999999999999998E-3</v>
      </c>
      <c r="E835" t="s">
        <v>20</v>
      </c>
      <c r="F835">
        <v>0</v>
      </c>
      <c r="G835">
        <f>COUNTIF(E:E,E835)</f>
        <v>110</v>
      </c>
      <c r="H835">
        <f>COUNTIFS(E:E,E835,A:A,A835,D:D,D835)</f>
        <v>1</v>
      </c>
      <c r="I835" t="e">
        <f>SUMIF([1]Mapeamento!$J:$J,A835,[1]Mapeamento!$L:$L)</f>
        <v>#VALUE!</v>
      </c>
      <c r="J835" s="1" t="e">
        <f>SUMIF('[1]Map_Meso-Ox'!$C:$C,A835,'[1]Map_Meso-Ox'!$D:$D)</f>
        <v>#VALUE!</v>
      </c>
      <c r="K835" s="2" t="e">
        <f t="shared" si="26"/>
        <v>#VALUE!</v>
      </c>
      <c r="L835" s="1" t="e">
        <f>SUMIF('[1]Map_Meso-Ox'!$C:$C,A835,'[1]Map_Meso-Ox'!$E:$E)</f>
        <v>#VALUE!</v>
      </c>
      <c r="M835" s="2" t="e">
        <f t="shared" si="27"/>
        <v>#VALUE!</v>
      </c>
    </row>
    <row r="836" spans="1:13" x14ac:dyDescent="0.25">
      <c r="A836">
        <v>65</v>
      </c>
      <c r="B836">
        <v>3</v>
      </c>
      <c r="C836">
        <v>95.335999999999999</v>
      </c>
      <c r="D836">
        <v>0</v>
      </c>
      <c r="E836" t="s">
        <v>20</v>
      </c>
      <c r="F836">
        <v>2</v>
      </c>
      <c r="G836">
        <f>COUNTIF(E:E,E836)</f>
        <v>110</v>
      </c>
      <c r="H836">
        <f>COUNTIFS(E:E,E836,A:A,A836,D:D,D836)</f>
        <v>1</v>
      </c>
      <c r="I836" t="e">
        <f>SUMIF([1]Mapeamento!$J:$J,A836,[1]Mapeamento!$L:$L)</f>
        <v>#VALUE!</v>
      </c>
      <c r="J836" s="1" t="e">
        <f>SUMIF('[1]Map_Meso-Ox'!$C:$C,A836,'[1]Map_Meso-Ox'!$D:$D)</f>
        <v>#VALUE!</v>
      </c>
      <c r="K836" s="2" t="e">
        <f t="shared" si="26"/>
        <v>#VALUE!</v>
      </c>
      <c r="L836" s="1" t="e">
        <f>SUMIF('[1]Map_Meso-Ox'!$C:$C,A836,'[1]Map_Meso-Ox'!$E:$E)</f>
        <v>#VALUE!</v>
      </c>
      <c r="M836" s="2" t="e">
        <f t="shared" si="27"/>
        <v>#VALUE!</v>
      </c>
    </row>
    <row r="837" spans="1:13" x14ac:dyDescent="0.25">
      <c r="A837">
        <v>66</v>
      </c>
      <c r="B837">
        <v>3</v>
      </c>
      <c r="C837">
        <v>50.691000000000003</v>
      </c>
      <c r="D837">
        <v>0</v>
      </c>
      <c r="E837" t="s">
        <v>20</v>
      </c>
      <c r="F837">
        <v>1</v>
      </c>
      <c r="G837">
        <f>COUNTIF(E:E,E837)</f>
        <v>110</v>
      </c>
      <c r="H837">
        <f>COUNTIFS(E:E,E837,A:A,A837,D:D,D837)</f>
        <v>1</v>
      </c>
      <c r="I837" t="e">
        <f>SUMIF([1]Mapeamento!$J:$J,A837,[1]Mapeamento!$L:$L)</f>
        <v>#VALUE!</v>
      </c>
      <c r="J837" s="1" t="e">
        <f>SUMIF('[1]Map_Meso-Ox'!$C:$C,A837,'[1]Map_Meso-Ox'!$D:$D)</f>
        <v>#VALUE!</v>
      </c>
      <c r="K837" s="2" t="e">
        <f t="shared" si="26"/>
        <v>#VALUE!</v>
      </c>
      <c r="L837" s="1" t="e">
        <f>SUMIF('[1]Map_Meso-Ox'!$C:$C,A837,'[1]Map_Meso-Ox'!$E:$E)</f>
        <v>#VALUE!</v>
      </c>
      <c r="M837" s="2" t="e">
        <f t="shared" si="27"/>
        <v>#VALUE!</v>
      </c>
    </row>
    <row r="838" spans="1:13" x14ac:dyDescent="0.25">
      <c r="A838">
        <v>67</v>
      </c>
      <c r="B838">
        <v>3</v>
      </c>
      <c r="C838">
        <v>87.290999999999997</v>
      </c>
      <c r="D838">
        <v>0</v>
      </c>
      <c r="E838" t="s">
        <v>20</v>
      </c>
      <c r="F838">
        <v>1</v>
      </c>
      <c r="G838">
        <f>COUNTIF(E:E,E838)</f>
        <v>110</v>
      </c>
      <c r="H838">
        <f>COUNTIFS(E:E,E838,A:A,A838,D:D,D838)</f>
        <v>1</v>
      </c>
      <c r="I838" t="e">
        <f>SUMIF([1]Mapeamento!$J:$J,A838,[1]Mapeamento!$L:$L)</f>
        <v>#VALUE!</v>
      </c>
      <c r="J838" s="1" t="e">
        <f>SUMIF('[1]Map_Meso-Ox'!$C:$C,A838,'[1]Map_Meso-Ox'!$D:$D)</f>
        <v>#VALUE!</v>
      </c>
      <c r="K838" s="2" t="e">
        <f t="shared" si="26"/>
        <v>#VALUE!</v>
      </c>
      <c r="L838" s="1" t="e">
        <f>SUMIF('[1]Map_Meso-Ox'!$C:$C,A838,'[1]Map_Meso-Ox'!$E:$E)</f>
        <v>#VALUE!</v>
      </c>
      <c r="M838" s="2" t="e">
        <f t="shared" si="27"/>
        <v>#VALUE!</v>
      </c>
    </row>
    <row r="839" spans="1:13" x14ac:dyDescent="0.25">
      <c r="A839">
        <v>68</v>
      </c>
      <c r="B839">
        <v>3</v>
      </c>
      <c r="C839">
        <v>81.875</v>
      </c>
      <c r="D839">
        <v>0</v>
      </c>
      <c r="E839" t="s">
        <v>20</v>
      </c>
      <c r="F839">
        <v>3</v>
      </c>
      <c r="G839">
        <f>COUNTIF(E:E,E839)</f>
        <v>110</v>
      </c>
      <c r="H839">
        <f>COUNTIFS(E:E,E839,A:A,A839,D:D,D839)</f>
        <v>1</v>
      </c>
      <c r="I839" t="e">
        <f>SUMIF([1]Mapeamento!$J:$J,A839,[1]Mapeamento!$L:$L)</f>
        <v>#VALUE!</v>
      </c>
      <c r="J839" s="1" t="e">
        <f>SUMIF('[1]Map_Meso-Ox'!$C:$C,A839,'[1]Map_Meso-Ox'!$D:$D)</f>
        <v>#VALUE!</v>
      </c>
      <c r="K839" s="2" t="e">
        <f t="shared" si="26"/>
        <v>#VALUE!</v>
      </c>
      <c r="L839" s="1" t="e">
        <f>SUMIF('[1]Map_Meso-Ox'!$C:$C,A839,'[1]Map_Meso-Ox'!$E:$E)</f>
        <v>#VALUE!</v>
      </c>
      <c r="M839" s="2" t="e">
        <f t="shared" si="27"/>
        <v>#VALUE!</v>
      </c>
    </row>
    <row r="840" spans="1:13" x14ac:dyDescent="0.25">
      <c r="A840">
        <v>69</v>
      </c>
      <c r="B840">
        <v>3</v>
      </c>
      <c r="C840">
        <v>41.405000000000001</v>
      </c>
      <c r="D840">
        <v>2.9999999999999997E-4</v>
      </c>
      <c r="E840" t="s">
        <v>20</v>
      </c>
      <c r="F840">
        <v>0</v>
      </c>
      <c r="G840">
        <f>COUNTIF(E:E,E840)</f>
        <v>110</v>
      </c>
      <c r="H840">
        <f>COUNTIFS(E:E,E840,A:A,A840,D:D,D840)</f>
        <v>1</v>
      </c>
      <c r="I840" t="e">
        <f>SUMIF([1]Mapeamento!$J:$J,A840,[1]Mapeamento!$L:$L)</f>
        <v>#VALUE!</v>
      </c>
      <c r="J840" s="1" t="e">
        <f>SUMIF('[1]Map_Meso-Ox'!$C:$C,A840,'[1]Map_Meso-Ox'!$D:$D)</f>
        <v>#VALUE!</v>
      </c>
      <c r="K840" s="2" t="e">
        <f t="shared" si="26"/>
        <v>#VALUE!</v>
      </c>
      <c r="L840" s="1" t="e">
        <f>SUMIF('[1]Map_Meso-Ox'!$C:$C,A840,'[1]Map_Meso-Ox'!$E:$E)</f>
        <v>#VALUE!</v>
      </c>
      <c r="M840" s="2" t="e">
        <f t="shared" si="27"/>
        <v>#VALUE!</v>
      </c>
    </row>
    <row r="841" spans="1:13" x14ac:dyDescent="0.25">
      <c r="A841">
        <v>70</v>
      </c>
      <c r="B841">
        <v>3</v>
      </c>
      <c r="C841">
        <v>48.975000000000001</v>
      </c>
      <c r="D841">
        <v>0</v>
      </c>
      <c r="E841" t="s">
        <v>20</v>
      </c>
      <c r="F841">
        <v>1</v>
      </c>
      <c r="G841">
        <f>COUNTIF(E:E,E841)</f>
        <v>110</v>
      </c>
      <c r="H841">
        <f>COUNTIFS(E:E,E841,A:A,A841,D:D,D841)</f>
        <v>1</v>
      </c>
      <c r="I841" t="e">
        <f>SUMIF([1]Mapeamento!$J:$J,A841,[1]Mapeamento!$L:$L)</f>
        <v>#VALUE!</v>
      </c>
      <c r="J841" s="1" t="e">
        <f>SUMIF('[1]Map_Meso-Ox'!$C:$C,A841,'[1]Map_Meso-Ox'!$D:$D)</f>
        <v>#VALUE!</v>
      </c>
      <c r="K841" s="2" t="e">
        <f t="shared" si="26"/>
        <v>#VALUE!</v>
      </c>
      <c r="L841" s="1" t="e">
        <f>SUMIF('[1]Map_Meso-Ox'!$C:$C,A841,'[1]Map_Meso-Ox'!$E:$E)</f>
        <v>#VALUE!</v>
      </c>
      <c r="M841" s="2" t="e">
        <f t="shared" si="27"/>
        <v>#VALUE!</v>
      </c>
    </row>
    <row r="842" spans="1:13" x14ac:dyDescent="0.25">
      <c r="A842">
        <v>71</v>
      </c>
      <c r="B842">
        <v>3</v>
      </c>
      <c r="C842">
        <v>59.35</v>
      </c>
      <c r="D842">
        <v>0</v>
      </c>
      <c r="E842" t="s">
        <v>20</v>
      </c>
      <c r="F842">
        <v>2</v>
      </c>
      <c r="G842">
        <f>COUNTIF(E:E,E842)</f>
        <v>110</v>
      </c>
      <c r="H842">
        <f>COUNTIFS(E:E,E842,A:A,A842,D:D,D842)</f>
        <v>1</v>
      </c>
      <c r="I842" t="e">
        <f>SUMIF([1]Mapeamento!$J:$J,A842,[1]Mapeamento!$L:$L)</f>
        <v>#VALUE!</v>
      </c>
      <c r="J842" s="1" t="e">
        <f>SUMIF('[1]Map_Meso-Ox'!$C:$C,A842,'[1]Map_Meso-Ox'!$D:$D)</f>
        <v>#VALUE!</v>
      </c>
      <c r="K842" s="2" t="e">
        <f t="shared" si="26"/>
        <v>#VALUE!</v>
      </c>
      <c r="L842" s="1" t="e">
        <f>SUMIF('[1]Map_Meso-Ox'!$C:$C,A842,'[1]Map_Meso-Ox'!$E:$E)</f>
        <v>#VALUE!</v>
      </c>
      <c r="M842" s="2" t="e">
        <f t="shared" si="27"/>
        <v>#VALUE!</v>
      </c>
    </row>
    <row r="843" spans="1:13" x14ac:dyDescent="0.25">
      <c r="A843">
        <v>72</v>
      </c>
      <c r="B843">
        <v>3</v>
      </c>
      <c r="C843">
        <v>66.081000000000003</v>
      </c>
      <c r="D843">
        <v>0</v>
      </c>
      <c r="E843" t="s">
        <v>20</v>
      </c>
      <c r="F843">
        <v>1</v>
      </c>
      <c r="G843">
        <f>COUNTIF(E:E,E843)</f>
        <v>110</v>
      </c>
      <c r="H843">
        <f>COUNTIFS(E:E,E843,A:A,A843,D:D,D843)</f>
        <v>1</v>
      </c>
      <c r="I843" t="e">
        <f>SUMIF([1]Mapeamento!$J:$J,A843,[1]Mapeamento!$L:$L)</f>
        <v>#VALUE!</v>
      </c>
      <c r="J843" s="1" t="e">
        <f>SUMIF('[1]Map_Meso-Ox'!$C:$C,A843,'[1]Map_Meso-Ox'!$D:$D)</f>
        <v>#VALUE!</v>
      </c>
      <c r="K843" s="2" t="e">
        <f t="shared" si="26"/>
        <v>#VALUE!</v>
      </c>
      <c r="L843" s="1" t="e">
        <f>SUMIF('[1]Map_Meso-Ox'!$C:$C,A843,'[1]Map_Meso-Ox'!$E:$E)</f>
        <v>#VALUE!</v>
      </c>
      <c r="M843" s="2" t="e">
        <f t="shared" si="27"/>
        <v>#VALUE!</v>
      </c>
    </row>
    <row r="844" spans="1:13" x14ac:dyDescent="0.25">
      <c r="A844">
        <v>73</v>
      </c>
      <c r="B844">
        <v>3</v>
      </c>
      <c r="C844">
        <v>72.182000000000002</v>
      </c>
      <c r="D844">
        <v>0</v>
      </c>
      <c r="E844" t="s">
        <v>20</v>
      </c>
      <c r="F844">
        <v>2</v>
      </c>
      <c r="G844">
        <f>COUNTIF(E:E,E844)</f>
        <v>110</v>
      </c>
      <c r="H844">
        <f>COUNTIFS(E:E,E844,A:A,A844,D:D,D844)</f>
        <v>1</v>
      </c>
      <c r="I844" t="e">
        <f>SUMIF([1]Mapeamento!$J:$J,A844,[1]Mapeamento!$L:$L)</f>
        <v>#VALUE!</v>
      </c>
      <c r="J844" s="1" t="e">
        <f>SUMIF('[1]Map_Meso-Ox'!$C:$C,A844,'[1]Map_Meso-Ox'!$D:$D)</f>
        <v>#VALUE!</v>
      </c>
      <c r="K844" s="2" t="e">
        <f t="shared" si="26"/>
        <v>#VALUE!</v>
      </c>
      <c r="L844" s="1" t="e">
        <f>SUMIF('[1]Map_Meso-Ox'!$C:$C,A844,'[1]Map_Meso-Ox'!$E:$E)</f>
        <v>#VALUE!</v>
      </c>
      <c r="M844" s="2" t="e">
        <f t="shared" si="27"/>
        <v>#VALUE!</v>
      </c>
    </row>
    <row r="845" spans="1:13" x14ac:dyDescent="0.25">
      <c r="A845">
        <v>74</v>
      </c>
      <c r="B845">
        <v>3</v>
      </c>
      <c r="C845">
        <v>24.943000000000001</v>
      </c>
      <c r="D845">
        <v>5.0700000000000002E-2</v>
      </c>
      <c r="E845" t="s">
        <v>20</v>
      </c>
      <c r="F845">
        <v>0</v>
      </c>
      <c r="G845">
        <f>COUNTIF(E:E,E845)</f>
        <v>110</v>
      </c>
      <c r="H845">
        <f>COUNTIFS(E:E,E845,A:A,A845,D:D,D845)</f>
        <v>1</v>
      </c>
      <c r="I845" t="e">
        <f>SUMIF([1]Mapeamento!$J:$J,A845,[1]Mapeamento!$L:$L)</f>
        <v>#VALUE!</v>
      </c>
      <c r="J845" s="1" t="e">
        <f>SUMIF('[1]Map_Meso-Ox'!$C:$C,A845,'[1]Map_Meso-Ox'!$D:$D)</f>
        <v>#VALUE!</v>
      </c>
      <c r="K845" s="2" t="e">
        <f t="shared" si="26"/>
        <v>#VALUE!</v>
      </c>
      <c r="L845" s="1" t="e">
        <f>SUMIF('[1]Map_Meso-Ox'!$C:$C,A845,'[1]Map_Meso-Ox'!$E:$E)</f>
        <v>#VALUE!</v>
      </c>
      <c r="M845" s="2" t="e">
        <f t="shared" si="27"/>
        <v>#VALUE!</v>
      </c>
    </row>
    <row r="846" spans="1:13" x14ac:dyDescent="0.25">
      <c r="A846">
        <v>75</v>
      </c>
      <c r="B846">
        <v>3</v>
      </c>
      <c r="C846">
        <v>55.133000000000003</v>
      </c>
      <c r="D846">
        <v>0</v>
      </c>
      <c r="E846" t="s">
        <v>20</v>
      </c>
      <c r="F846">
        <v>1</v>
      </c>
      <c r="G846">
        <f>COUNTIF(E:E,E846)</f>
        <v>110</v>
      </c>
      <c r="H846">
        <f>COUNTIFS(E:E,E846,A:A,A846,D:D,D846)</f>
        <v>1</v>
      </c>
      <c r="I846" t="e">
        <f>SUMIF([1]Mapeamento!$J:$J,A846,[1]Mapeamento!$L:$L)</f>
        <v>#VALUE!</v>
      </c>
      <c r="J846" s="1" t="e">
        <f>SUMIF('[1]Map_Meso-Ox'!$C:$C,A846,'[1]Map_Meso-Ox'!$D:$D)</f>
        <v>#VALUE!</v>
      </c>
      <c r="K846" s="2" t="e">
        <f t="shared" si="26"/>
        <v>#VALUE!</v>
      </c>
      <c r="L846" s="1" t="e">
        <f>SUMIF('[1]Map_Meso-Ox'!$C:$C,A846,'[1]Map_Meso-Ox'!$E:$E)</f>
        <v>#VALUE!</v>
      </c>
      <c r="M846" s="2" t="e">
        <f t="shared" si="27"/>
        <v>#VALUE!</v>
      </c>
    </row>
    <row r="847" spans="1:13" x14ac:dyDescent="0.25">
      <c r="A847">
        <v>76</v>
      </c>
      <c r="B847">
        <v>3</v>
      </c>
      <c r="C847">
        <v>70.778000000000006</v>
      </c>
      <c r="D847">
        <v>0</v>
      </c>
      <c r="E847" t="s">
        <v>20</v>
      </c>
      <c r="F847">
        <v>1</v>
      </c>
      <c r="G847">
        <f>COUNTIF(E:E,E847)</f>
        <v>110</v>
      </c>
      <c r="H847">
        <f>COUNTIFS(E:E,E847,A:A,A847,D:D,D847)</f>
        <v>1</v>
      </c>
      <c r="I847" t="e">
        <f>SUMIF([1]Mapeamento!$J:$J,A847,[1]Mapeamento!$L:$L)</f>
        <v>#VALUE!</v>
      </c>
      <c r="J847" s="1" t="e">
        <f>SUMIF('[1]Map_Meso-Ox'!$C:$C,A847,'[1]Map_Meso-Ox'!$D:$D)</f>
        <v>#VALUE!</v>
      </c>
      <c r="K847" s="2" t="e">
        <f t="shared" si="26"/>
        <v>#VALUE!</v>
      </c>
      <c r="L847" s="1" t="e">
        <f>SUMIF('[1]Map_Meso-Ox'!$C:$C,A847,'[1]Map_Meso-Ox'!$E:$E)</f>
        <v>#VALUE!</v>
      </c>
      <c r="M847" s="2" t="e">
        <f t="shared" si="27"/>
        <v>#VALUE!</v>
      </c>
    </row>
    <row r="848" spans="1:13" x14ac:dyDescent="0.25">
      <c r="A848">
        <v>77</v>
      </c>
      <c r="B848">
        <v>3</v>
      </c>
      <c r="C848">
        <v>66.269000000000005</v>
      </c>
      <c r="D848">
        <v>0</v>
      </c>
      <c r="E848" t="s">
        <v>20</v>
      </c>
      <c r="F848">
        <v>1</v>
      </c>
      <c r="G848">
        <f>COUNTIF(E:E,E848)</f>
        <v>110</v>
      </c>
      <c r="H848">
        <f>COUNTIFS(E:E,E848,A:A,A848,D:D,D848)</f>
        <v>1</v>
      </c>
      <c r="I848" t="e">
        <f>SUMIF([1]Mapeamento!$J:$J,A848,[1]Mapeamento!$L:$L)</f>
        <v>#VALUE!</v>
      </c>
      <c r="J848" s="1" t="e">
        <f>SUMIF('[1]Map_Meso-Ox'!$C:$C,A848,'[1]Map_Meso-Ox'!$D:$D)</f>
        <v>#VALUE!</v>
      </c>
      <c r="K848" s="2" t="e">
        <f t="shared" si="26"/>
        <v>#VALUE!</v>
      </c>
      <c r="L848" s="1" t="e">
        <f>SUMIF('[1]Map_Meso-Ox'!$C:$C,A848,'[1]Map_Meso-Ox'!$E:$E)</f>
        <v>#VALUE!</v>
      </c>
      <c r="M848" s="2" t="e">
        <f t="shared" si="27"/>
        <v>#VALUE!</v>
      </c>
    </row>
    <row r="849" spans="1:13" x14ac:dyDescent="0.25">
      <c r="A849">
        <v>78</v>
      </c>
      <c r="B849">
        <v>3</v>
      </c>
      <c r="C849">
        <v>95.222999999999999</v>
      </c>
      <c r="D849">
        <v>0</v>
      </c>
      <c r="E849" t="s">
        <v>20</v>
      </c>
      <c r="F849">
        <v>2</v>
      </c>
      <c r="G849">
        <f>COUNTIF(E:E,E849)</f>
        <v>110</v>
      </c>
      <c r="H849">
        <f>COUNTIFS(E:E,E849,A:A,A849,D:D,D849)</f>
        <v>1</v>
      </c>
      <c r="I849" t="e">
        <f>SUMIF([1]Mapeamento!$J:$J,A849,[1]Mapeamento!$L:$L)</f>
        <v>#VALUE!</v>
      </c>
      <c r="J849" s="1" t="e">
        <f>SUMIF('[1]Map_Meso-Ox'!$C:$C,A849,'[1]Map_Meso-Ox'!$D:$D)</f>
        <v>#VALUE!</v>
      </c>
      <c r="K849" s="2" t="e">
        <f t="shared" si="26"/>
        <v>#VALUE!</v>
      </c>
      <c r="L849" s="1" t="e">
        <f>SUMIF('[1]Map_Meso-Ox'!$C:$C,A849,'[1]Map_Meso-Ox'!$E:$E)</f>
        <v>#VALUE!</v>
      </c>
      <c r="M849" s="2" t="e">
        <f t="shared" si="27"/>
        <v>#VALUE!</v>
      </c>
    </row>
    <row r="850" spans="1:13" x14ac:dyDescent="0.25">
      <c r="A850">
        <v>79</v>
      </c>
      <c r="B850">
        <v>3</v>
      </c>
      <c r="C850">
        <v>64.977999999999994</v>
      </c>
      <c r="D850">
        <v>0</v>
      </c>
      <c r="E850" t="s">
        <v>20</v>
      </c>
      <c r="F850">
        <v>1</v>
      </c>
      <c r="G850">
        <f>COUNTIF(E:E,E850)</f>
        <v>110</v>
      </c>
      <c r="H850">
        <f>COUNTIFS(E:E,E850,A:A,A850,D:D,D850)</f>
        <v>1</v>
      </c>
      <c r="I850" t="e">
        <f>SUMIF([1]Mapeamento!$J:$J,A850,[1]Mapeamento!$L:$L)</f>
        <v>#VALUE!</v>
      </c>
      <c r="J850" s="1" t="e">
        <f>SUMIF('[1]Map_Meso-Ox'!$C:$C,A850,'[1]Map_Meso-Ox'!$D:$D)</f>
        <v>#VALUE!</v>
      </c>
      <c r="K850" s="2" t="e">
        <f t="shared" si="26"/>
        <v>#VALUE!</v>
      </c>
      <c r="L850" s="1" t="e">
        <f>SUMIF('[1]Map_Meso-Ox'!$C:$C,A850,'[1]Map_Meso-Ox'!$E:$E)</f>
        <v>#VALUE!</v>
      </c>
      <c r="M850" s="2" t="e">
        <f t="shared" si="27"/>
        <v>#VALUE!</v>
      </c>
    </row>
    <row r="851" spans="1:13" x14ac:dyDescent="0.25">
      <c r="A851">
        <v>80</v>
      </c>
      <c r="B851">
        <v>3</v>
      </c>
      <c r="C851">
        <v>60.71</v>
      </c>
      <c r="D851">
        <v>0</v>
      </c>
      <c r="E851" t="s">
        <v>20</v>
      </c>
      <c r="F851">
        <v>1</v>
      </c>
      <c r="G851">
        <f>COUNTIF(E:E,E851)</f>
        <v>110</v>
      </c>
      <c r="H851">
        <f>COUNTIFS(E:E,E851,A:A,A851,D:D,D851)</f>
        <v>1</v>
      </c>
      <c r="I851" t="e">
        <f>SUMIF([1]Mapeamento!$J:$J,A851,[1]Mapeamento!$L:$L)</f>
        <v>#VALUE!</v>
      </c>
      <c r="J851" s="1" t="e">
        <f>SUMIF('[1]Map_Meso-Ox'!$C:$C,A851,'[1]Map_Meso-Ox'!$D:$D)</f>
        <v>#VALUE!</v>
      </c>
      <c r="K851" s="2" t="e">
        <f t="shared" si="26"/>
        <v>#VALUE!</v>
      </c>
      <c r="L851" s="1" t="e">
        <f>SUMIF('[1]Map_Meso-Ox'!$C:$C,A851,'[1]Map_Meso-Ox'!$E:$E)</f>
        <v>#VALUE!</v>
      </c>
      <c r="M851" s="2" t="e">
        <f t="shared" si="27"/>
        <v>#VALUE!</v>
      </c>
    </row>
    <row r="852" spans="1:13" x14ac:dyDescent="0.25">
      <c r="A852">
        <v>81</v>
      </c>
      <c r="B852">
        <v>3</v>
      </c>
      <c r="C852">
        <v>59.23</v>
      </c>
      <c r="D852">
        <v>0</v>
      </c>
      <c r="E852" t="s">
        <v>20</v>
      </c>
      <c r="F852">
        <v>1</v>
      </c>
      <c r="G852">
        <f>COUNTIF(E:E,E852)</f>
        <v>110</v>
      </c>
      <c r="H852">
        <f>COUNTIFS(E:E,E852,A:A,A852,D:D,D852)</f>
        <v>1</v>
      </c>
      <c r="I852" t="e">
        <f>SUMIF([1]Mapeamento!$J:$J,A852,[1]Mapeamento!$L:$L)</f>
        <v>#VALUE!</v>
      </c>
      <c r="J852" s="1" t="e">
        <f>SUMIF('[1]Map_Meso-Ox'!$C:$C,A852,'[1]Map_Meso-Ox'!$D:$D)</f>
        <v>#VALUE!</v>
      </c>
      <c r="K852" s="2" t="e">
        <f t="shared" si="26"/>
        <v>#VALUE!</v>
      </c>
      <c r="L852" s="1" t="e">
        <f>SUMIF('[1]Map_Meso-Ox'!$C:$C,A852,'[1]Map_Meso-Ox'!$E:$E)</f>
        <v>#VALUE!</v>
      </c>
      <c r="M852" s="2" t="e">
        <f t="shared" si="27"/>
        <v>#VALUE!</v>
      </c>
    </row>
    <row r="853" spans="1:13" x14ac:dyDescent="0.25">
      <c r="A853">
        <v>82</v>
      </c>
      <c r="B853">
        <v>3</v>
      </c>
      <c r="C853">
        <v>48.067999999999998</v>
      </c>
      <c r="D853">
        <v>0</v>
      </c>
      <c r="E853" t="s">
        <v>20</v>
      </c>
      <c r="F853">
        <v>1</v>
      </c>
      <c r="G853">
        <f>COUNTIF(E:E,E853)</f>
        <v>110</v>
      </c>
      <c r="H853">
        <f>COUNTIFS(E:E,E853,A:A,A853,D:D,D853)</f>
        <v>1</v>
      </c>
      <c r="I853" t="e">
        <f>SUMIF([1]Mapeamento!$J:$J,A853,[1]Mapeamento!$L:$L)</f>
        <v>#VALUE!</v>
      </c>
      <c r="J853" s="1" t="e">
        <f>SUMIF('[1]Map_Meso-Ox'!$C:$C,A853,'[1]Map_Meso-Ox'!$D:$D)</f>
        <v>#VALUE!</v>
      </c>
      <c r="K853" s="2" t="e">
        <f t="shared" si="26"/>
        <v>#VALUE!</v>
      </c>
      <c r="L853" s="1" t="e">
        <f>SUMIF('[1]Map_Meso-Ox'!$C:$C,A853,'[1]Map_Meso-Ox'!$E:$E)</f>
        <v>#VALUE!</v>
      </c>
      <c r="M853" s="2" t="e">
        <f t="shared" si="27"/>
        <v>#VALUE!</v>
      </c>
    </row>
    <row r="854" spans="1:13" x14ac:dyDescent="0.25">
      <c r="A854">
        <v>83</v>
      </c>
      <c r="B854">
        <v>3</v>
      </c>
      <c r="C854">
        <v>66.840999999999994</v>
      </c>
      <c r="D854">
        <v>0</v>
      </c>
      <c r="E854" t="s">
        <v>20</v>
      </c>
      <c r="F854">
        <v>1</v>
      </c>
      <c r="G854">
        <f>COUNTIF(E:E,E854)</f>
        <v>110</v>
      </c>
      <c r="H854">
        <f>COUNTIFS(E:E,E854,A:A,A854,D:D,D854)</f>
        <v>1</v>
      </c>
      <c r="I854" t="e">
        <f>SUMIF([1]Mapeamento!$J:$J,A854,[1]Mapeamento!$L:$L)</f>
        <v>#VALUE!</v>
      </c>
      <c r="J854" s="1" t="e">
        <f>SUMIF('[1]Map_Meso-Ox'!$C:$C,A854,'[1]Map_Meso-Ox'!$D:$D)</f>
        <v>#VALUE!</v>
      </c>
      <c r="K854" s="2" t="e">
        <f t="shared" si="26"/>
        <v>#VALUE!</v>
      </c>
      <c r="L854" s="1" t="e">
        <f>SUMIF('[1]Map_Meso-Ox'!$C:$C,A854,'[1]Map_Meso-Ox'!$E:$E)</f>
        <v>#VALUE!</v>
      </c>
      <c r="M854" s="2" t="e">
        <f t="shared" si="27"/>
        <v>#VALUE!</v>
      </c>
    </row>
    <row r="855" spans="1:13" x14ac:dyDescent="0.25">
      <c r="A855">
        <v>84</v>
      </c>
      <c r="B855">
        <v>3</v>
      </c>
      <c r="C855">
        <v>52.298999999999999</v>
      </c>
      <c r="D855">
        <v>0</v>
      </c>
      <c r="E855" t="s">
        <v>20</v>
      </c>
      <c r="F855">
        <v>2</v>
      </c>
      <c r="G855">
        <f>COUNTIF(E:E,E855)</f>
        <v>110</v>
      </c>
      <c r="H855">
        <f>COUNTIFS(E:E,E855,A:A,A855,D:D,D855)</f>
        <v>1</v>
      </c>
      <c r="I855" t="e">
        <f>SUMIF([1]Mapeamento!$J:$J,A855,[1]Mapeamento!$L:$L)</f>
        <v>#VALUE!</v>
      </c>
      <c r="J855" s="1" t="e">
        <f>SUMIF('[1]Map_Meso-Ox'!$C:$C,A855,'[1]Map_Meso-Ox'!$D:$D)</f>
        <v>#VALUE!</v>
      </c>
      <c r="K855" s="2" t="e">
        <f t="shared" si="26"/>
        <v>#VALUE!</v>
      </c>
      <c r="L855" s="1" t="e">
        <f>SUMIF('[1]Map_Meso-Ox'!$C:$C,A855,'[1]Map_Meso-Ox'!$E:$E)</f>
        <v>#VALUE!</v>
      </c>
      <c r="M855" s="2" t="e">
        <f t="shared" si="27"/>
        <v>#VALUE!</v>
      </c>
    </row>
    <row r="856" spans="1:13" x14ac:dyDescent="0.25">
      <c r="A856">
        <v>85</v>
      </c>
      <c r="B856">
        <v>3</v>
      </c>
      <c r="C856">
        <v>55.857999999999997</v>
      </c>
      <c r="D856">
        <v>0</v>
      </c>
      <c r="E856" t="s">
        <v>20</v>
      </c>
      <c r="F856">
        <v>1</v>
      </c>
      <c r="G856">
        <f>COUNTIF(E:E,E856)</f>
        <v>110</v>
      </c>
      <c r="H856">
        <f>COUNTIFS(E:E,E856,A:A,A856,D:D,D856)</f>
        <v>1</v>
      </c>
      <c r="I856" t="e">
        <f>SUMIF([1]Mapeamento!$J:$J,A856,[1]Mapeamento!$L:$L)</f>
        <v>#VALUE!</v>
      </c>
      <c r="J856" s="1" t="e">
        <f>SUMIF('[1]Map_Meso-Ox'!$C:$C,A856,'[1]Map_Meso-Ox'!$D:$D)</f>
        <v>#VALUE!</v>
      </c>
      <c r="K856" s="2" t="e">
        <f t="shared" si="26"/>
        <v>#VALUE!</v>
      </c>
      <c r="L856" s="1" t="e">
        <f>SUMIF('[1]Map_Meso-Ox'!$C:$C,A856,'[1]Map_Meso-Ox'!$E:$E)</f>
        <v>#VALUE!</v>
      </c>
      <c r="M856" s="2" t="e">
        <f t="shared" si="27"/>
        <v>#VALUE!</v>
      </c>
    </row>
    <row r="857" spans="1:13" x14ac:dyDescent="0.25">
      <c r="A857">
        <v>86</v>
      </c>
      <c r="B857">
        <v>3</v>
      </c>
      <c r="C857">
        <v>60.975000000000001</v>
      </c>
      <c r="D857">
        <v>0</v>
      </c>
      <c r="E857" t="s">
        <v>20</v>
      </c>
      <c r="F857">
        <v>1</v>
      </c>
      <c r="G857">
        <f>COUNTIF(E:E,E857)</f>
        <v>110</v>
      </c>
      <c r="H857">
        <f>COUNTIFS(E:E,E857,A:A,A857,D:D,D857)</f>
        <v>1</v>
      </c>
      <c r="I857" t="e">
        <f>SUMIF([1]Mapeamento!$J:$J,A857,[1]Mapeamento!$L:$L)</f>
        <v>#VALUE!</v>
      </c>
      <c r="J857" s="1" t="e">
        <f>SUMIF('[1]Map_Meso-Ox'!$C:$C,A857,'[1]Map_Meso-Ox'!$D:$D)</f>
        <v>#VALUE!</v>
      </c>
      <c r="K857" s="2" t="e">
        <f t="shared" si="26"/>
        <v>#VALUE!</v>
      </c>
      <c r="L857" s="1" t="e">
        <f>SUMIF('[1]Map_Meso-Ox'!$C:$C,A857,'[1]Map_Meso-Ox'!$E:$E)</f>
        <v>#VALUE!</v>
      </c>
      <c r="M857" s="2" t="e">
        <f t="shared" si="27"/>
        <v>#VALUE!</v>
      </c>
    </row>
    <row r="858" spans="1:13" x14ac:dyDescent="0.25">
      <c r="A858">
        <v>87</v>
      </c>
      <c r="B858">
        <v>3</v>
      </c>
      <c r="C858">
        <v>45.07</v>
      </c>
      <c r="D858">
        <v>1E-4</v>
      </c>
      <c r="E858" t="s">
        <v>20</v>
      </c>
      <c r="F858">
        <v>0</v>
      </c>
      <c r="G858">
        <f>COUNTIF(E:E,E858)</f>
        <v>110</v>
      </c>
      <c r="H858">
        <f>COUNTIFS(E:E,E858,A:A,A858,D:D,D858)</f>
        <v>1</v>
      </c>
      <c r="I858" t="e">
        <f>SUMIF([1]Mapeamento!$J:$J,A858,[1]Mapeamento!$L:$L)</f>
        <v>#VALUE!</v>
      </c>
      <c r="J858" s="1" t="e">
        <f>SUMIF('[1]Map_Meso-Ox'!$C:$C,A858,'[1]Map_Meso-Ox'!$D:$D)</f>
        <v>#VALUE!</v>
      </c>
      <c r="K858" s="2" t="e">
        <f t="shared" si="26"/>
        <v>#VALUE!</v>
      </c>
      <c r="L858" s="1" t="e">
        <f>SUMIF('[1]Map_Meso-Ox'!$C:$C,A858,'[1]Map_Meso-Ox'!$E:$E)</f>
        <v>#VALUE!</v>
      </c>
      <c r="M858" s="2" t="e">
        <f t="shared" si="27"/>
        <v>#VALUE!</v>
      </c>
    </row>
    <row r="859" spans="1:13" x14ac:dyDescent="0.25">
      <c r="A859">
        <v>88</v>
      </c>
      <c r="B859">
        <v>3</v>
      </c>
      <c r="C859">
        <v>34.826000000000001</v>
      </c>
      <c r="D859">
        <v>2.5999999999999999E-3</v>
      </c>
      <c r="E859" t="s">
        <v>20</v>
      </c>
      <c r="F859">
        <v>0</v>
      </c>
      <c r="G859">
        <f>COUNTIF(E:E,E859)</f>
        <v>110</v>
      </c>
      <c r="H859">
        <f>COUNTIFS(E:E,E859,A:A,A859,D:D,D859)</f>
        <v>1</v>
      </c>
      <c r="I859" t="e">
        <f>SUMIF([1]Mapeamento!$J:$J,A859,[1]Mapeamento!$L:$L)</f>
        <v>#VALUE!</v>
      </c>
      <c r="J859" s="1" t="e">
        <f>SUMIF('[1]Map_Meso-Ox'!$C:$C,A859,'[1]Map_Meso-Ox'!$D:$D)</f>
        <v>#VALUE!</v>
      </c>
      <c r="K859" s="2" t="e">
        <f t="shared" si="26"/>
        <v>#VALUE!</v>
      </c>
      <c r="L859" s="1" t="e">
        <f>SUMIF('[1]Map_Meso-Ox'!$C:$C,A859,'[1]Map_Meso-Ox'!$E:$E)</f>
        <v>#VALUE!</v>
      </c>
      <c r="M859" s="2" t="e">
        <f t="shared" si="27"/>
        <v>#VALUE!</v>
      </c>
    </row>
    <row r="860" spans="1:13" x14ac:dyDescent="0.25">
      <c r="A860">
        <v>89</v>
      </c>
      <c r="B860">
        <v>3</v>
      </c>
      <c r="C860">
        <v>32.831000000000003</v>
      </c>
      <c r="D860">
        <v>5.0000000000000001E-3</v>
      </c>
      <c r="E860" t="s">
        <v>20</v>
      </c>
      <c r="F860">
        <v>0</v>
      </c>
      <c r="G860">
        <f>COUNTIF(E:E,E860)</f>
        <v>110</v>
      </c>
      <c r="H860">
        <f>COUNTIFS(E:E,E860,A:A,A860,D:D,D860)</f>
        <v>1</v>
      </c>
      <c r="I860" t="e">
        <f>SUMIF([1]Mapeamento!$J:$J,A860,[1]Mapeamento!$L:$L)</f>
        <v>#VALUE!</v>
      </c>
      <c r="J860" s="1" t="e">
        <f>SUMIF('[1]Map_Meso-Ox'!$C:$C,A860,'[1]Map_Meso-Ox'!$D:$D)</f>
        <v>#VALUE!</v>
      </c>
      <c r="K860" s="2" t="e">
        <f t="shared" si="26"/>
        <v>#VALUE!</v>
      </c>
      <c r="L860" s="1" t="e">
        <f>SUMIF('[1]Map_Meso-Ox'!$C:$C,A860,'[1]Map_Meso-Ox'!$E:$E)</f>
        <v>#VALUE!</v>
      </c>
      <c r="M860" s="2" t="e">
        <f t="shared" si="27"/>
        <v>#VALUE!</v>
      </c>
    </row>
    <row r="861" spans="1:13" x14ac:dyDescent="0.25">
      <c r="A861">
        <v>90</v>
      </c>
      <c r="B861">
        <v>3</v>
      </c>
      <c r="C861">
        <v>52.869</v>
      </c>
      <c r="D861">
        <v>0</v>
      </c>
      <c r="E861" t="s">
        <v>20</v>
      </c>
      <c r="F861">
        <v>1</v>
      </c>
      <c r="G861">
        <f>COUNTIF(E:E,E861)</f>
        <v>110</v>
      </c>
      <c r="H861">
        <f>COUNTIFS(E:E,E861,A:A,A861,D:D,D861)</f>
        <v>1</v>
      </c>
      <c r="I861" t="e">
        <f>SUMIF([1]Mapeamento!$J:$J,A861,[1]Mapeamento!$L:$L)</f>
        <v>#VALUE!</v>
      </c>
      <c r="J861" s="1" t="e">
        <f>SUMIF('[1]Map_Meso-Ox'!$C:$C,A861,'[1]Map_Meso-Ox'!$D:$D)</f>
        <v>#VALUE!</v>
      </c>
      <c r="K861" s="2" t="e">
        <f t="shared" si="26"/>
        <v>#VALUE!</v>
      </c>
      <c r="L861" s="1" t="e">
        <f>SUMIF('[1]Map_Meso-Ox'!$C:$C,A861,'[1]Map_Meso-Ox'!$E:$E)</f>
        <v>#VALUE!</v>
      </c>
      <c r="M861" s="2" t="e">
        <f t="shared" si="27"/>
        <v>#VALUE!</v>
      </c>
    </row>
    <row r="862" spans="1:13" x14ac:dyDescent="0.25">
      <c r="A862">
        <v>91</v>
      </c>
      <c r="B862">
        <v>3</v>
      </c>
      <c r="C862">
        <v>70.637</v>
      </c>
      <c r="D862">
        <v>0</v>
      </c>
      <c r="E862" t="s">
        <v>20</v>
      </c>
      <c r="F862">
        <v>2</v>
      </c>
      <c r="G862">
        <f>COUNTIF(E:E,E862)</f>
        <v>110</v>
      </c>
      <c r="H862">
        <f>COUNTIFS(E:E,E862,A:A,A862,D:D,D862)</f>
        <v>1</v>
      </c>
      <c r="I862" t="e">
        <f>SUMIF([1]Mapeamento!$J:$J,A862,[1]Mapeamento!$L:$L)</f>
        <v>#VALUE!</v>
      </c>
      <c r="J862" s="1" t="e">
        <f>SUMIF('[1]Map_Meso-Ox'!$C:$C,A862,'[1]Map_Meso-Ox'!$D:$D)</f>
        <v>#VALUE!</v>
      </c>
      <c r="K862" s="2" t="e">
        <f t="shared" si="26"/>
        <v>#VALUE!</v>
      </c>
      <c r="L862" s="1" t="e">
        <f>SUMIF('[1]Map_Meso-Ox'!$C:$C,A862,'[1]Map_Meso-Ox'!$E:$E)</f>
        <v>#VALUE!</v>
      </c>
      <c r="M862" s="2" t="e">
        <f t="shared" si="27"/>
        <v>#VALUE!</v>
      </c>
    </row>
    <row r="863" spans="1:13" x14ac:dyDescent="0.25">
      <c r="A863">
        <v>92</v>
      </c>
      <c r="B863">
        <v>3</v>
      </c>
      <c r="C863">
        <v>58.652000000000001</v>
      </c>
      <c r="D863">
        <v>0</v>
      </c>
      <c r="E863" t="s">
        <v>20</v>
      </c>
      <c r="F863">
        <v>0</v>
      </c>
      <c r="G863">
        <f>COUNTIF(E:E,E863)</f>
        <v>110</v>
      </c>
      <c r="H863">
        <f>COUNTIFS(E:E,E863,A:A,A863,D:D,D863)</f>
        <v>1</v>
      </c>
      <c r="I863" t="e">
        <f>SUMIF([1]Mapeamento!$J:$J,A863,[1]Mapeamento!$L:$L)</f>
        <v>#VALUE!</v>
      </c>
      <c r="J863" s="1" t="e">
        <f>SUMIF('[1]Map_Meso-Ox'!$C:$C,A863,'[1]Map_Meso-Ox'!$D:$D)</f>
        <v>#VALUE!</v>
      </c>
      <c r="K863" s="2" t="e">
        <f t="shared" si="26"/>
        <v>#VALUE!</v>
      </c>
      <c r="L863" s="1" t="e">
        <f>SUMIF('[1]Map_Meso-Ox'!$C:$C,A863,'[1]Map_Meso-Ox'!$E:$E)</f>
        <v>#VALUE!</v>
      </c>
      <c r="M863" s="2" t="e">
        <f t="shared" si="27"/>
        <v>#VALUE!</v>
      </c>
    </row>
    <row r="864" spans="1:13" x14ac:dyDescent="0.25">
      <c r="A864">
        <v>93</v>
      </c>
      <c r="B864">
        <v>3</v>
      </c>
      <c r="C864">
        <v>55.545000000000002</v>
      </c>
      <c r="D864">
        <v>0</v>
      </c>
      <c r="E864" t="s">
        <v>20</v>
      </c>
      <c r="F864">
        <v>0</v>
      </c>
      <c r="G864">
        <f>COUNTIF(E:E,E864)</f>
        <v>110</v>
      </c>
      <c r="H864">
        <f>COUNTIFS(E:E,E864,A:A,A864,D:D,D864)</f>
        <v>1</v>
      </c>
      <c r="I864" t="e">
        <f>SUMIF([1]Mapeamento!$J:$J,A864,[1]Mapeamento!$L:$L)</f>
        <v>#VALUE!</v>
      </c>
      <c r="J864" s="1" t="e">
        <f>SUMIF('[1]Map_Meso-Ox'!$C:$C,A864,'[1]Map_Meso-Ox'!$D:$D)</f>
        <v>#VALUE!</v>
      </c>
      <c r="K864" s="2" t="e">
        <f t="shared" si="26"/>
        <v>#VALUE!</v>
      </c>
      <c r="L864" s="1" t="e">
        <f>SUMIF('[1]Map_Meso-Ox'!$C:$C,A864,'[1]Map_Meso-Ox'!$E:$E)</f>
        <v>#VALUE!</v>
      </c>
      <c r="M864" s="2" t="e">
        <f t="shared" si="27"/>
        <v>#VALUE!</v>
      </c>
    </row>
    <row r="865" spans="1:13" x14ac:dyDescent="0.25">
      <c r="A865">
        <v>94</v>
      </c>
      <c r="B865">
        <v>3</v>
      </c>
      <c r="C865">
        <v>49.344000000000001</v>
      </c>
      <c r="D865">
        <v>0</v>
      </c>
      <c r="E865" t="s">
        <v>20</v>
      </c>
      <c r="F865">
        <v>2</v>
      </c>
      <c r="G865">
        <f>COUNTIF(E:E,E865)</f>
        <v>110</v>
      </c>
      <c r="H865">
        <f>COUNTIFS(E:E,E865,A:A,A865,D:D,D865)</f>
        <v>1</v>
      </c>
      <c r="I865" t="e">
        <f>SUMIF([1]Mapeamento!$J:$J,A865,[1]Mapeamento!$L:$L)</f>
        <v>#VALUE!</v>
      </c>
      <c r="J865" s="1" t="e">
        <f>SUMIF('[1]Map_Meso-Ox'!$C:$C,A865,'[1]Map_Meso-Ox'!$D:$D)</f>
        <v>#VALUE!</v>
      </c>
      <c r="K865" s="2" t="e">
        <f t="shared" si="26"/>
        <v>#VALUE!</v>
      </c>
      <c r="L865" s="1" t="e">
        <f>SUMIF('[1]Map_Meso-Ox'!$C:$C,A865,'[1]Map_Meso-Ox'!$E:$E)</f>
        <v>#VALUE!</v>
      </c>
      <c r="M865" s="2" t="e">
        <f t="shared" si="27"/>
        <v>#VALUE!</v>
      </c>
    </row>
    <row r="866" spans="1:13" x14ac:dyDescent="0.25">
      <c r="A866">
        <v>95</v>
      </c>
      <c r="B866">
        <v>3</v>
      </c>
      <c r="C866">
        <v>33.433999999999997</v>
      </c>
      <c r="D866">
        <v>4.1000000000000003E-3</v>
      </c>
      <c r="E866" t="s">
        <v>20</v>
      </c>
      <c r="F866">
        <v>0</v>
      </c>
      <c r="G866">
        <f>COUNTIF(E:E,E866)</f>
        <v>110</v>
      </c>
      <c r="H866">
        <f>COUNTIFS(E:E,E866,A:A,A866,D:D,D866)</f>
        <v>1</v>
      </c>
      <c r="I866" t="e">
        <f>SUMIF([1]Mapeamento!$J:$J,A866,[1]Mapeamento!$L:$L)</f>
        <v>#VALUE!</v>
      </c>
      <c r="J866" s="1" t="e">
        <f>SUMIF('[1]Map_Meso-Ox'!$C:$C,A866,'[1]Map_Meso-Ox'!$D:$D)</f>
        <v>#VALUE!</v>
      </c>
      <c r="K866" s="2" t="e">
        <f t="shared" si="26"/>
        <v>#VALUE!</v>
      </c>
      <c r="L866" s="1" t="e">
        <f>SUMIF('[1]Map_Meso-Ox'!$C:$C,A866,'[1]Map_Meso-Ox'!$E:$E)</f>
        <v>#VALUE!</v>
      </c>
      <c r="M866" s="2" t="e">
        <f t="shared" si="27"/>
        <v>#VALUE!</v>
      </c>
    </row>
    <row r="867" spans="1:13" x14ac:dyDescent="0.25">
      <c r="A867">
        <v>96</v>
      </c>
      <c r="B867">
        <v>3</v>
      </c>
      <c r="C867">
        <v>51.088999999999999</v>
      </c>
      <c r="D867">
        <v>0</v>
      </c>
      <c r="E867" t="s">
        <v>20</v>
      </c>
      <c r="F867">
        <v>0</v>
      </c>
      <c r="G867">
        <f>COUNTIF(E:E,E867)</f>
        <v>110</v>
      </c>
      <c r="H867">
        <f>COUNTIFS(E:E,E867,A:A,A867,D:D,D867)</f>
        <v>1</v>
      </c>
      <c r="I867" t="e">
        <f>SUMIF([1]Mapeamento!$J:$J,A867,[1]Mapeamento!$L:$L)</f>
        <v>#VALUE!</v>
      </c>
      <c r="J867" s="1" t="e">
        <f>SUMIF('[1]Map_Meso-Ox'!$C:$C,A867,'[1]Map_Meso-Ox'!$D:$D)</f>
        <v>#VALUE!</v>
      </c>
      <c r="K867" s="2" t="e">
        <f t="shared" si="26"/>
        <v>#VALUE!</v>
      </c>
      <c r="L867" s="1" t="e">
        <f>SUMIF('[1]Map_Meso-Ox'!$C:$C,A867,'[1]Map_Meso-Ox'!$E:$E)</f>
        <v>#VALUE!</v>
      </c>
      <c r="M867" s="2" t="e">
        <f t="shared" si="27"/>
        <v>#VALUE!</v>
      </c>
    </row>
    <row r="868" spans="1:13" x14ac:dyDescent="0.25">
      <c r="A868">
        <v>97</v>
      </c>
      <c r="B868">
        <v>3</v>
      </c>
      <c r="C868">
        <v>55.710999999999999</v>
      </c>
      <c r="D868">
        <v>0</v>
      </c>
      <c r="E868" t="s">
        <v>20</v>
      </c>
      <c r="F868">
        <v>1</v>
      </c>
      <c r="G868">
        <f>COUNTIF(E:E,E868)</f>
        <v>110</v>
      </c>
      <c r="H868">
        <f>COUNTIFS(E:E,E868,A:A,A868,D:D,D868)</f>
        <v>1</v>
      </c>
      <c r="I868" t="e">
        <f>SUMIF([1]Mapeamento!$J:$J,A868,[1]Mapeamento!$L:$L)</f>
        <v>#VALUE!</v>
      </c>
      <c r="J868" s="1" t="e">
        <f>SUMIF('[1]Map_Meso-Ox'!$C:$C,A868,'[1]Map_Meso-Ox'!$D:$D)</f>
        <v>#VALUE!</v>
      </c>
      <c r="K868" s="2" t="e">
        <f t="shared" si="26"/>
        <v>#VALUE!</v>
      </c>
      <c r="L868" s="1" t="e">
        <f>SUMIF('[1]Map_Meso-Ox'!$C:$C,A868,'[1]Map_Meso-Ox'!$E:$E)</f>
        <v>#VALUE!</v>
      </c>
      <c r="M868" s="2" t="e">
        <f t="shared" si="27"/>
        <v>#VALUE!</v>
      </c>
    </row>
    <row r="869" spans="1:13" x14ac:dyDescent="0.25">
      <c r="A869">
        <v>98</v>
      </c>
      <c r="B869">
        <v>3</v>
      </c>
      <c r="C869">
        <v>58.146999999999998</v>
      </c>
      <c r="D869">
        <v>0</v>
      </c>
      <c r="E869" t="s">
        <v>20</v>
      </c>
      <c r="F869">
        <v>0</v>
      </c>
      <c r="G869">
        <f>COUNTIF(E:E,E869)</f>
        <v>110</v>
      </c>
      <c r="H869">
        <f>COUNTIFS(E:E,E869,A:A,A869,D:D,D869)</f>
        <v>1</v>
      </c>
      <c r="I869" t="e">
        <f>SUMIF([1]Mapeamento!$J:$J,A869,[1]Mapeamento!$L:$L)</f>
        <v>#VALUE!</v>
      </c>
      <c r="J869" s="1" t="e">
        <f>SUMIF('[1]Map_Meso-Ox'!$C:$C,A869,'[1]Map_Meso-Ox'!$D:$D)</f>
        <v>#VALUE!</v>
      </c>
      <c r="K869" s="2" t="e">
        <f t="shared" si="26"/>
        <v>#VALUE!</v>
      </c>
      <c r="L869" s="1" t="e">
        <f>SUMIF('[1]Map_Meso-Ox'!$C:$C,A869,'[1]Map_Meso-Ox'!$E:$E)</f>
        <v>#VALUE!</v>
      </c>
      <c r="M869" s="2" t="e">
        <f t="shared" si="27"/>
        <v>#VALUE!</v>
      </c>
    </row>
    <row r="870" spans="1:13" x14ac:dyDescent="0.25">
      <c r="A870">
        <v>99</v>
      </c>
      <c r="B870">
        <v>3</v>
      </c>
      <c r="C870">
        <v>61.155000000000001</v>
      </c>
      <c r="D870">
        <v>0</v>
      </c>
      <c r="E870" t="s">
        <v>20</v>
      </c>
      <c r="F870">
        <v>1</v>
      </c>
      <c r="G870">
        <f>COUNTIF(E:E,E870)</f>
        <v>110</v>
      </c>
      <c r="H870">
        <f>COUNTIFS(E:E,E870,A:A,A870,D:D,D870)</f>
        <v>1</v>
      </c>
      <c r="I870" t="e">
        <f>SUMIF([1]Mapeamento!$J:$J,A870,[1]Mapeamento!$L:$L)</f>
        <v>#VALUE!</v>
      </c>
      <c r="J870" s="1" t="e">
        <f>SUMIF('[1]Map_Meso-Ox'!$C:$C,A870,'[1]Map_Meso-Ox'!$D:$D)</f>
        <v>#VALUE!</v>
      </c>
      <c r="K870" s="2" t="e">
        <f t="shared" si="26"/>
        <v>#VALUE!</v>
      </c>
      <c r="L870" s="1" t="e">
        <f>SUMIF('[1]Map_Meso-Ox'!$C:$C,A870,'[1]Map_Meso-Ox'!$E:$E)</f>
        <v>#VALUE!</v>
      </c>
      <c r="M870" s="2" t="e">
        <f t="shared" si="27"/>
        <v>#VALUE!</v>
      </c>
    </row>
    <row r="871" spans="1:13" x14ac:dyDescent="0.25">
      <c r="A871">
        <v>100</v>
      </c>
      <c r="B871">
        <v>3</v>
      </c>
      <c r="C871">
        <v>70.394000000000005</v>
      </c>
      <c r="D871">
        <v>0</v>
      </c>
      <c r="E871" t="s">
        <v>20</v>
      </c>
      <c r="F871">
        <v>2</v>
      </c>
      <c r="G871">
        <f>COUNTIF(E:E,E871)</f>
        <v>110</v>
      </c>
      <c r="H871">
        <f>COUNTIFS(E:E,E871,A:A,A871,D:D,D871)</f>
        <v>1</v>
      </c>
      <c r="I871" t="e">
        <f>SUMIF([1]Mapeamento!$J:$J,A871,[1]Mapeamento!$L:$L)</f>
        <v>#VALUE!</v>
      </c>
      <c r="J871" s="1" t="e">
        <f>SUMIF('[1]Map_Meso-Ox'!$C:$C,A871,'[1]Map_Meso-Ox'!$D:$D)</f>
        <v>#VALUE!</v>
      </c>
      <c r="K871" s="2" t="e">
        <f t="shared" si="26"/>
        <v>#VALUE!</v>
      </c>
      <c r="L871" s="1" t="e">
        <f>SUMIF('[1]Map_Meso-Ox'!$C:$C,A871,'[1]Map_Meso-Ox'!$E:$E)</f>
        <v>#VALUE!</v>
      </c>
      <c r="M871" s="2" t="e">
        <f t="shared" si="27"/>
        <v>#VALUE!</v>
      </c>
    </row>
    <row r="872" spans="1:13" x14ac:dyDescent="0.25">
      <c r="A872">
        <v>101</v>
      </c>
      <c r="B872">
        <v>3</v>
      </c>
      <c r="C872">
        <v>79.462000000000003</v>
      </c>
      <c r="D872">
        <v>0</v>
      </c>
      <c r="E872" t="s">
        <v>20</v>
      </c>
      <c r="F872">
        <v>2</v>
      </c>
      <c r="G872">
        <f>COUNTIF(E:E,E872)</f>
        <v>110</v>
      </c>
      <c r="H872">
        <f>COUNTIFS(E:E,E872,A:A,A872,D:D,D872)</f>
        <v>1</v>
      </c>
      <c r="I872" t="e">
        <f>SUMIF([1]Mapeamento!$J:$J,A872,[1]Mapeamento!$L:$L)</f>
        <v>#VALUE!</v>
      </c>
      <c r="J872" s="1" t="e">
        <f>SUMIF('[1]Map_Meso-Ox'!$C:$C,A872,'[1]Map_Meso-Ox'!$D:$D)</f>
        <v>#VALUE!</v>
      </c>
      <c r="K872" s="2" t="e">
        <f t="shared" ref="K872:K935" si="28">J872/203401269</f>
        <v>#VALUE!</v>
      </c>
      <c r="L872" s="1" t="e">
        <f>SUMIF('[1]Map_Meso-Ox'!$C:$C,A872,'[1]Map_Meso-Ox'!$E:$E)</f>
        <v>#VALUE!</v>
      </c>
      <c r="M872" s="2" t="e">
        <f t="shared" ref="M872:M935" si="29">L872/3868725997.715</f>
        <v>#VALUE!</v>
      </c>
    </row>
    <row r="873" spans="1:13" x14ac:dyDescent="0.25">
      <c r="A873">
        <v>102</v>
      </c>
      <c r="B873">
        <v>3</v>
      </c>
      <c r="C873">
        <v>49.103999999999999</v>
      </c>
      <c r="D873">
        <v>0</v>
      </c>
      <c r="E873" t="s">
        <v>20</v>
      </c>
      <c r="F873">
        <v>0</v>
      </c>
      <c r="G873">
        <f>COUNTIF(E:E,E873)</f>
        <v>110</v>
      </c>
      <c r="H873">
        <f>COUNTIFS(E:E,E873,A:A,A873,D:D,D873)</f>
        <v>1</v>
      </c>
      <c r="I873" t="e">
        <f>SUMIF([1]Mapeamento!$J:$J,A873,[1]Mapeamento!$L:$L)</f>
        <v>#VALUE!</v>
      </c>
      <c r="J873" s="1" t="e">
        <f>SUMIF('[1]Map_Meso-Ox'!$C:$C,A873,'[1]Map_Meso-Ox'!$D:$D)</f>
        <v>#VALUE!</v>
      </c>
      <c r="K873" s="2" t="e">
        <f t="shared" si="28"/>
        <v>#VALUE!</v>
      </c>
      <c r="L873" s="1" t="e">
        <f>SUMIF('[1]Map_Meso-Ox'!$C:$C,A873,'[1]Map_Meso-Ox'!$E:$E)</f>
        <v>#VALUE!</v>
      </c>
      <c r="M873" s="2" t="e">
        <f t="shared" si="29"/>
        <v>#VALUE!</v>
      </c>
    </row>
    <row r="874" spans="1:13" x14ac:dyDescent="0.25">
      <c r="A874">
        <v>103</v>
      </c>
      <c r="B874">
        <v>3</v>
      </c>
      <c r="C874">
        <v>62.948999999999998</v>
      </c>
      <c r="D874">
        <v>0</v>
      </c>
      <c r="E874" t="s">
        <v>20</v>
      </c>
      <c r="F874">
        <v>1</v>
      </c>
      <c r="G874">
        <f>COUNTIF(E:E,E874)</f>
        <v>110</v>
      </c>
      <c r="H874">
        <f>COUNTIFS(E:E,E874,A:A,A874,D:D,D874)</f>
        <v>1</v>
      </c>
      <c r="I874" t="e">
        <f>SUMIF([1]Mapeamento!$J:$J,A874,[1]Mapeamento!$L:$L)</f>
        <v>#VALUE!</v>
      </c>
      <c r="J874" s="1" t="e">
        <f>SUMIF('[1]Map_Meso-Ox'!$C:$C,A874,'[1]Map_Meso-Ox'!$D:$D)</f>
        <v>#VALUE!</v>
      </c>
      <c r="K874" s="2" t="e">
        <f t="shared" si="28"/>
        <v>#VALUE!</v>
      </c>
      <c r="L874" s="1" t="e">
        <f>SUMIF('[1]Map_Meso-Ox'!$C:$C,A874,'[1]Map_Meso-Ox'!$E:$E)</f>
        <v>#VALUE!</v>
      </c>
      <c r="M874" s="2" t="e">
        <f t="shared" si="29"/>
        <v>#VALUE!</v>
      </c>
    </row>
    <row r="875" spans="1:13" x14ac:dyDescent="0.25">
      <c r="A875">
        <v>104</v>
      </c>
      <c r="B875">
        <v>3</v>
      </c>
      <c r="C875">
        <v>52.744999999999997</v>
      </c>
      <c r="D875">
        <v>0</v>
      </c>
      <c r="E875" t="s">
        <v>20</v>
      </c>
      <c r="F875">
        <v>1</v>
      </c>
      <c r="G875">
        <f>COUNTIF(E:E,E875)</f>
        <v>110</v>
      </c>
      <c r="H875">
        <f>COUNTIFS(E:E,E875,A:A,A875,D:D,D875)</f>
        <v>1</v>
      </c>
      <c r="I875" t="e">
        <f>SUMIF([1]Mapeamento!$J:$J,A875,[1]Mapeamento!$L:$L)</f>
        <v>#VALUE!</v>
      </c>
      <c r="J875" s="1" t="e">
        <f>SUMIF('[1]Map_Meso-Ox'!$C:$C,A875,'[1]Map_Meso-Ox'!$D:$D)</f>
        <v>#VALUE!</v>
      </c>
      <c r="K875" s="2" t="e">
        <f t="shared" si="28"/>
        <v>#VALUE!</v>
      </c>
      <c r="L875" s="1" t="e">
        <f>SUMIF('[1]Map_Meso-Ox'!$C:$C,A875,'[1]Map_Meso-Ox'!$E:$E)</f>
        <v>#VALUE!</v>
      </c>
      <c r="M875" s="2" t="e">
        <f t="shared" si="29"/>
        <v>#VALUE!</v>
      </c>
    </row>
    <row r="876" spans="1:13" x14ac:dyDescent="0.25">
      <c r="A876">
        <v>105</v>
      </c>
      <c r="B876">
        <v>3</v>
      </c>
      <c r="C876">
        <v>65.516999999999996</v>
      </c>
      <c r="D876">
        <v>0</v>
      </c>
      <c r="E876" t="s">
        <v>20</v>
      </c>
      <c r="F876">
        <v>2</v>
      </c>
      <c r="G876">
        <f>COUNTIF(E:E,E876)</f>
        <v>110</v>
      </c>
      <c r="H876">
        <f>COUNTIFS(E:E,E876,A:A,A876,D:D,D876)</f>
        <v>1</v>
      </c>
      <c r="I876" t="e">
        <f>SUMIF([1]Mapeamento!$J:$J,A876,[1]Mapeamento!$L:$L)</f>
        <v>#VALUE!</v>
      </c>
      <c r="J876" s="1" t="e">
        <f>SUMIF('[1]Map_Meso-Ox'!$C:$C,A876,'[1]Map_Meso-Ox'!$D:$D)</f>
        <v>#VALUE!</v>
      </c>
      <c r="K876" s="2" t="e">
        <f t="shared" si="28"/>
        <v>#VALUE!</v>
      </c>
      <c r="L876" s="1" t="e">
        <f>SUMIF('[1]Map_Meso-Ox'!$C:$C,A876,'[1]Map_Meso-Ox'!$E:$E)</f>
        <v>#VALUE!</v>
      </c>
      <c r="M876" s="2" t="e">
        <f t="shared" si="29"/>
        <v>#VALUE!</v>
      </c>
    </row>
    <row r="877" spans="1:13" x14ac:dyDescent="0.25">
      <c r="A877">
        <v>106</v>
      </c>
      <c r="B877">
        <v>3</v>
      </c>
      <c r="C877">
        <v>57.558</v>
      </c>
      <c r="D877">
        <v>0</v>
      </c>
      <c r="E877" t="s">
        <v>20</v>
      </c>
      <c r="F877">
        <v>2</v>
      </c>
      <c r="G877">
        <f>COUNTIF(E:E,E877)</f>
        <v>110</v>
      </c>
      <c r="H877">
        <f>COUNTIFS(E:E,E877,A:A,A877,D:D,D877)</f>
        <v>1</v>
      </c>
      <c r="I877" t="e">
        <f>SUMIF([1]Mapeamento!$J:$J,A877,[1]Mapeamento!$L:$L)</f>
        <v>#VALUE!</v>
      </c>
      <c r="J877" s="1" t="e">
        <f>SUMIF('[1]Map_Meso-Ox'!$C:$C,A877,'[1]Map_Meso-Ox'!$D:$D)</f>
        <v>#VALUE!</v>
      </c>
      <c r="K877" s="2" t="e">
        <f t="shared" si="28"/>
        <v>#VALUE!</v>
      </c>
      <c r="L877" s="1" t="e">
        <f>SUMIF('[1]Map_Meso-Ox'!$C:$C,A877,'[1]Map_Meso-Ox'!$E:$E)</f>
        <v>#VALUE!</v>
      </c>
      <c r="M877" s="2" t="e">
        <f t="shared" si="29"/>
        <v>#VALUE!</v>
      </c>
    </row>
    <row r="878" spans="1:13" x14ac:dyDescent="0.25">
      <c r="A878">
        <v>107</v>
      </c>
      <c r="B878">
        <v>3</v>
      </c>
      <c r="C878">
        <v>52.749000000000002</v>
      </c>
      <c r="D878">
        <v>0</v>
      </c>
      <c r="E878" t="s">
        <v>20</v>
      </c>
      <c r="F878">
        <v>1</v>
      </c>
      <c r="G878">
        <f>COUNTIF(E:E,E878)</f>
        <v>110</v>
      </c>
      <c r="H878">
        <f>COUNTIFS(E:E,E878,A:A,A878,D:D,D878)</f>
        <v>1</v>
      </c>
      <c r="I878" t="e">
        <f>SUMIF([1]Mapeamento!$J:$J,A878,[1]Mapeamento!$L:$L)</f>
        <v>#VALUE!</v>
      </c>
      <c r="J878" s="1" t="e">
        <f>SUMIF('[1]Map_Meso-Ox'!$C:$C,A878,'[1]Map_Meso-Ox'!$D:$D)</f>
        <v>#VALUE!</v>
      </c>
      <c r="K878" s="2" t="e">
        <f t="shared" si="28"/>
        <v>#VALUE!</v>
      </c>
      <c r="L878" s="1" t="e">
        <f>SUMIF('[1]Map_Meso-Ox'!$C:$C,A878,'[1]Map_Meso-Ox'!$E:$E)</f>
        <v>#VALUE!</v>
      </c>
      <c r="M878" s="2" t="e">
        <f t="shared" si="29"/>
        <v>#VALUE!</v>
      </c>
    </row>
    <row r="879" spans="1:13" x14ac:dyDescent="0.25">
      <c r="A879">
        <v>108</v>
      </c>
      <c r="B879">
        <v>3</v>
      </c>
      <c r="C879">
        <v>63.426000000000002</v>
      </c>
      <c r="D879">
        <v>0</v>
      </c>
      <c r="E879" t="s">
        <v>20</v>
      </c>
      <c r="F879">
        <v>1</v>
      </c>
      <c r="G879">
        <f>COUNTIF(E:E,E879)</f>
        <v>110</v>
      </c>
      <c r="H879">
        <f>COUNTIFS(E:E,E879,A:A,A879,D:D,D879)</f>
        <v>1</v>
      </c>
      <c r="I879" t="e">
        <f>SUMIF([1]Mapeamento!$J:$J,A879,[1]Mapeamento!$L:$L)</f>
        <v>#VALUE!</v>
      </c>
      <c r="J879" s="1" t="e">
        <f>SUMIF('[1]Map_Meso-Ox'!$C:$C,A879,'[1]Map_Meso-Ox'!$D:$D)</f>
        <v>#VALUE!</v>
      </c>
      <c r="K879" s="2" t="e">
        <f t="shared" si="28"/>
        <v>#VALUE!</v>
      </c>
      <c r="L879" s="1" t="e">
        <f>SUMIF('[1]Map_Meso-Ox'!$C:$C,A879,'[1]Map_Meso-Ox'!$E:$E)</f>
        <v>#VALUE!</v>
      </c>
      <c r="M879" s="2" t="e">
        <f t="shared" si="29"/>
        <v>#VALUE!</v>
      </c>
    </row>
    <row r="880" spans="1:13" x14ac:dyDescent="0.25">
      <c r="A880">
        <v>109</v>
      </c>
      <c r="B880">
        <v>3</v>
      </c>
      <c r="C880">
        <v>42.45</v>
      </c>
      <c r="D880">
        <v>2.0000000000000001E-4</v>
      </c>
      <c r="E880" t="s">
        <v>20</v>
      </c>
      <c r="F880">
        <v>1</v>
      </c>
      <c r="G880">
        <f>COUNTIF(E:E,E880)</f>
        <v>110</v>
      </c>
      <c r="H880">
        <f>COUNTIFS(E:E,E880,A:A,A880,D:D,D880)</f>
        <v>1</v>
      </c>
      <c r="I880" t="e">
        <f>SUMIF([1]Mapeamento!$J:$J,A880,[1]Mapeamento!$L:$L)</f>
        <v>#VALUE!</v>
      </c>
      <c r="J880" s="1" t="e">
        <f>SUMIF('[1]Map_Meso-Ox'!$C:$C,A880,'[1]Map_Meso-Ox'!$D:$D)</f>
        <v>#VALUE!</v>
      </c>
      <c r="K880" s="2" t="e">
        <f t="shared" si="28"/>
        <v>#VALUE!</v>
      </c>
      <c r="L880" s="1" t="e">
        <f>SUMIF('[1]Map_Meso-Ox'!$C:$C,A880,'[1]Map_Meso-Ox'!$E:$E)</f>
        <v>#VALUE!</v>
      </c>
      <c r="M880" s="2" t="e">
        <f t="shared" si="29"/>
        <v>#VALUE!</v>
      </c>
    </row>
    <row r="881" spans="1:13" x14ac:dyDescent="0.25">
      <c r="A881">
        <v>110</v>
      </c>
      <c r="B881">
        <v>3</v>
      </c>
      <c r="C881">
        <v>75.760000000000005</v>
      </c>
      <c r="D881">
        <v>0</v>
      </c>
      <c r="E881" t="s">
        <v>20</v>
      </c>
      <c r="F881">
        <v>2</v>
      </c>
      <c r="G881">
        <f>COUNTIF(E:E,E881)</f>
        <v>110</v>
      </c>
      <c r="H881">
        <f>COUNTIFS(E:E,E881,A:A,A881,D:D,D881)</f>
        <v>1</v>
      </c>
      <c r="I881" t="e">
        <f>SUMIF([1]Mapeamento!$J:$J,A881,[1]Mapeamento!$L:$L)</f>
        <v>#VALUE!</v>
      </c>
      <c r="J881" s="1" t="e">
        <f>SUMIF('[1]Map_Meso-Ox'!$C:$C,A881,'[1]Map_Meso-Ox'!$D:$D)</f>
        <v>#VALUE!</v>
      </c>
      <c r="K881" s="2" t="e">
        <f t="shared" si="28"/>
        <v>#VALUE!</v>
      </c>
      <c r="L881" s="1" t="e">
        <f>SUMIF('[1]Map_Meso-Ox'!$C:$C,A881,'[1]Map_Meso-Ox'!$E:$E)</f>
        <v>#VALUE!</v>
      </c>
      <c r="M881" s="2" t="e">
        <f t="shared" si="29"/>
        <v>#VALUE!</v>
      </c>
    </row>
    <row r="882" spans="1:13" x14ac:dyDescent="0.25">
      <c r="A882">
        <v>1</v>
      </c>
      <c r="B882">
        <v>3</v>
      </c>
      <c r="C882">
        <v>75.135999999999996</v>
      </c>
      <c r="D882">
        <v>0</v>
      </c>
      <c r="E882" t="s">
        <v>21</v>
      </c>
      <c r="F882">
        <v>2</v>
      </c>
      <c r="G882">
        <f>COUNTIF(E:E,E882)</f>
        <v>110</v>
      </c>
      <c r="H882">
        <f>COUNTIFS(E:E,E882,A:A,A882,D:D,D882)</f>
        <v>1</v>
      </c>
      <c r="I882" t="e">
        <f>SUMIF([1]Mapeamento!$J:$J,A882,[1]Mapeamento!$L:$L)</f>
        <v>#VALUE!</v>
      </c>
      <c r="J882" s="1" t="e">
        <f>SUMIF('[1]Map_Meso-Ox'!$C:$C,A882,'[1]Map_Meso-Ox'!$D:$D)</f>
        <v>#VALUE!</v>
      </c>
      <c r="K882" s="2" t="e">
        <f t="shared" si="28"/>
        <v>#VALUE!</v>
      </c>
      <c r="L882" s="1" t="e">
        <f>SUMIF('[1]Map_Meso-Ox'!$C:$C,A882,'[1]Map_Meso-Ox'!$E:$E)</f>
        <v>#VALUE!</v>
      </c>
      <c r="M882" s="2" t="e">
        <f t="shared" si="29"/>
        <v>#VALUE!</v>
      </c>
    </row>
    <row r="883" spans="1:13" x14ac:dyDescent="0.25">
      <c r="A883">
        <v>2</v>
      </c>
      <c r="B883">
        <v>3</v>
      </c>
      <c r="C883">
        <v>55.487000000000002</v>
      </c>
      <c r="D883">
        <v>0</v>
      </c>
      <c r="E883" t="s">
        <v>21</v>
      </c>
      <c r="F883">
        <v>2</v>
      </c>
      <c r="G883">
        <f>COUNTIF(E:E,E883)</f>
        <v>110</v>
      </c>
      <c r="H883">
        <f>COUNTIFS(E:E,E883,A:A,A883,D:D,D883)</f>
        <v>1</v>
      </c>
      <c r="I883" t="e">
        <f>SUMIF([1]Mapeamento!$J:$J,A883,[1]Mapeamento!$L:$L)</f>
        <v>#VALUE!</v>
      </c>
      <c r="J883" s="1" t="e">
        <f>SUMIF('[1]Map_Meso-Ox'!$C:$C,A883,'[1]Map_Meso-Ox'!$D:$D)</f>
        <v>#VALUE!</v>
      </c>
      <c r="K883" s="2" t="e">
        <f t="shared" si="28"/>
        <v>#VALUE!</v>
      </c>
      <c r="L883" s="1" t="e">
        <f>SUMIF('[1]Map_Meso-Ox'!$C:$C,A883,'[1]Map_Meso-Ox'!$E:$E)</f>
        <v>#VALUE!</v>
      </c>
      <c r="M883" s="2" t="e">
        <f t="shared" si="29"/>
        <v>#VALUE!</v>
      </c>
    </row>
    <row r="884" spans="1:13" x14ac:dyDescent="0.25">
      <c r="A884">
        <v>3</v>
      </c>
      <c r="B884">
        <v>3</v>
      </c>
      <c r="C884">
        <v>51.753999999999998</v>
      </c>
      <c r="D884">
        <v>0</v>
      </c>
      <c r="E884" t="s">
        <v>21</v>
      </c>
      <c r="F884">
        <v>1</v>
      </c>
      <c r="G884">
        <f>COUNTIF(E:E,E884)</f>
        <v>110</v>
      </c>
      <c r="H884">
        <f>COUNTIFS(E:E,E884,A:A,A884,D:D,D884)</f>
        <v>1</v>
      </c>
      <c r="I884" t="e">
        <f>SUMIF([1]Mapeamento!$J:$J,A884,[1]Mapeamento!$L:$L)</f>
        <v>#VALUE!</v>
      </c>
      <c r="J884" s="1" t="e">
        <f>SUMIF('[1]Map_Meso-Ox'!$C:$C,A884,'[1]Map_Meso-Ox'!$D:$D)</f>
        <v>#VALUE!</v>
      </c>
      <c r="K884" s="2" t="e">
        <f t="shared" si="28"/>
        <v>#VALUE!</v>
      </c>
      <c r="L884" s="1" t="e">
        <f>SUMIF('[1]Map_Meso-Ox'!$C:$C,A884,'[1]Map_Meso-Ox'!$E:$E)</f>
        <v>#VALUE!</v>
      </c>
      <c r="M884" s="2" t="e">
        <f t="shared" si="29"/>
        <v>#VALUE!</v>
      </c>
    </row>
    <row r="885" spans="1:13" x14ac:dyDescent="0.25">
      <c r="A885">
        <v>4</v>
      </c>
      <c r="B885">
        <v>3</v>
      </c>
      <c r="C885">
        <v>79.227000000000004</v>
      </c>
      <c r="D885">
        <v>0</v>
      </c>
      <c r="E885" t="s">
        <v>21</v>
      </c>
      <c r="F885">
        <v>1</v>
      </c>
      <c r="G885">
        <f>COUNTIF(E:E,E885)</f>
        <v>110</v>
      </c>
      <c r="H885">
        <f>COUNTIFS(E:E,E885,A:A,A885,D:D,D885)</f>
        <v>1</v>
      </c>
      <c r="I885" t="e">
        <f>SUMIF([1]Mapeamento!$J:$J,A885,[1]Mapeamento!$L:$L)</f>
        <v>#VALUE!</v>
      </c>
      <c r="J885" s="1" t="e">
        <f>SUMIF('[1]Map_Meso-Ox'!$C:$C,A885,'[1]Map_Meso-Ox'!$D:$D)</f>
        <v>#VALUE!</v>
      </c>
      <c r="K885" s="2" t="e">
        <f t="shared" si="28"/>
        <v>#VALUE!</v>
      </c>
      <c r="L885" s="1" t="e">
        <f>SUMIF('[1]Map_Meso-Ox'!$C:$C,A885,'[1]Map_Meso-Ox'!$E:$E)</f>
        <v>#VALUE!</v>
      </c>
      <c r="M885" s="2" t="e">
        <f t="shared" si="29"/>
        <v>#VALUE!</v>
      </c>
    </row>
    <row r="886" spans="1:13" x14ac:dyDescent="0.25">
      <c r="A886">
        <v>5</v>
      </c>
      <c r="B886">
        <v>3</v>
      </c>
      <c r="C886">
        <v>40.369</v>
      </c>
      <c r="D886">
        <v>2.0000000000000001E-4</v>
      </c>
      <c r="E886" t="s">
        <v>21</v>
      </c>
      <c r="F886">
        <v>0</v>
      </c>
      <c r="G886">
        <f>COUNTIF(E:E,E886)</f>
        <v>110</v>
      </c>
      <c r="H886">
        <f>COUNTIFS(E:E,E886,A:A,A886,D:D,D886)</f>
        <v>1</v>
      </c>
      <c r="I886" t="e">
        <f>SUMIF([1]Mapeamento!$J:$J,A886,[1]Mapeamento!$L:$L)</f>
        <v>#VALUE!</v>
      </c>
      <c r="J886" s="1" t="e">
        <f>SUMIF('[1]Map_Meso-Ox'!$C:$C,A886,'[1]Map_Meso-Ox'!$D:$D)</f>
        <v>#VALUE!</v>
      </c>
      <c r="K886" s="2" t="e">
        <f t="shared" si="28"/>
        <v>#VALUE!</v>
      </c>
      <c r="L886" s="1" t="e">
        <f>SUMIF('[1]Map_Meso-Ox'!$C:$C,A886,'[1]Map_Meso-Ox'!$E:$E)</f>
        <v>#VALUE!</v>
      </c>
      <c r="M886" s="2" t="e">
        <f t="shared" si="29"/>
        <v>#VALUE!</v>
      </c>
    </row>
    <row r="887" spans="1:13" x14ac:dyDescent="0.25">
      <c r="A887">
        <v>6</v>
      </c>
      <c r="B887">
        <v>3</v>
      </c>
      <c r="C887">
        <v>51.853999999999999</v>
      </c>
      <c r="D887">
        <v>0</v>
      </c>
      <c r="E887" t="s">
        <v>21</v>
      </c>
      <c r="F887">
        <v>1</v>
      </c>
      <c r="G887">
        <f>COUNTIF(E:E,E887)</f>
        <v>110</v>
      </c>
      <c r="H887">
        <f>COUNTIFS(E:E,E887,A:A,A887,D:D,D887)</f>
        <v>1</v>
      </c>
      <c r="I887" t="e">
        <f>SUMIF([1]Mapeamento!$J:$J,A887,[1]Mapeamento!$L:$L)</f>
        <v>#VALUE!</v>
      </c>
      <c r="J887" s="1" t="e">
        <f>SUMIF('[1]Map_Meso-Ox'!$C:$C,A887,'[1]Map_Meso-Ox'!$D:$D)</f>
        <v>#VALUE!</v>
      </c>
      <c r="K887" s="2" t="e">
        <f t="shared" si="28"/>
        <v>#VALUE!</v>
      </c>
      <c r="L887" s="1" t="e">
        <f>SUMIF('[1]Map_Meso-Ox'!$C:$C,A887,'[1]Map_Meso-Ox'!$E:$E)</f>
        <v>#VALUE!</v>
      </c>
      <c r="M887" s="2" t="e">
        <f t="shared" si="29"/>
        <v>#VALUE!</v>
      </c>
    </row>
    <row r="888" spans="1:13" x14ac:dyDescent="0.25">
      <c r="A888">
        <v>7</v>
      </c>
      <c r="B888">
        <v>3</v>
      </c>
      <c r="C888">
        <v>39.341000000000001</v>
      </c>
      <c r="D888">
        <v>2.9999999999999997E-4</v>
      </c>
      <c r="E888" t="s">
        <v>21</v>
      </c>
      <c r="F888">
        <v>1</v>
      </c>
      <c r="G888">
        <f>COUNTIF(E:E,E888)</f>
        <v>110</v>
      </c>
      <c r="H888">
        <f>COUNTIFS(E:E,E888,A:A,A888,D:D,D888)</f>
        <v>1</v>
      </c>
      <c r="I888" t="e">
        <f>SUMIF([1]Mapeamento!$J:$J,A888,[1]Mapeamento!$L:$L)</f>
        <v>#VALUE!</v>
      </c>
      <c r="J888" s="1" t="e">
        <f>SUMIF('[1]Map_Meso-Ox'!$C:$C,A888,'[1]Map_Meso-Ox'!$D:$D)</f>
        <v>#VALUE!</v>
      </c>
      <c r="K888" s="2" t="e">
        <f t="shared" si="28"/>
        <v>#VALUE!</v>
      </c>
      <c r="L888" s="1" t="e">
        <f>SUMIF('[1]Map_Meso-Ox'!$C:$C,A888,'[1]Map_Meso-Ox'!$E:$E)</f>
        <v>#VALUE!</v>
      </c>
      <c r="M888" s="2" t="e">
        <f t="shared" si="29"/>
        <v>#VALUE!</v>
      </c>
    </row>
    <row r="889" spans="1:13" x14ac:dyDescent="0.25">
      <c r="A889">
        <v>8</v>
      </c>
      <c r="B889">
        <v>3</v>
      </c>
      <c r="C889">
        <v>43.326999999999998</v>
      </c>
      <c r="D889">
        <v>1E-4</v>
      </c>
      <c r="E889" t="s">
        <v>21</v>
      </c>
      <c r="F889">
        <v>0</v>
      </c>
      <c r="G889">
        <f>COUNTIF(E:E,E889)</f>
        <v>110</v>
      </c>
      <c r="H889">
        <f>COUNTIFS(E:E,E889,A:A,A889,D:D,D889)</f>
        <v>1</v>
      </c>
      <c r="I889" t="e">
        <f>SUMIF([1]Mapeamento!$J:$J,A889,[1]Mapeamento!$L:$L)</f>
        <v>#VALUE!</v>
      </c>
      <c r="J889" s="1" t="e">
        <f>SUMIF('[1]Map_Meso-Ox'!$C:$C,A889,'[1]Map_Meso-Ox'!$D:$D)</f>
        <v>#VALUE!</v>
      </c>
      <c r="K889" s="2" t="e">
        <f t="shared" si="28"/>
        <v>#VALUE!</v>
      </c>
      <c r="L889" s="1" t="e">
        <f>SUMIF('[1]Map_Meso-Ox'!$C:$C,A889,'[1]Map_Meso-Ox'!$E:$E)</f>
        <v>#VALUE!</v>
      </c>
      <c r="M889" s="2" t="e">
        <f t="shared" si="29"/>
        <v>#VALUE!</v>
      </c>
    </row>
    <row r="890" spans="1:13" x14ac:dyDescent="0.25">
      <c r="A890">
        <v>9</v>
      </c>
      <c r="B890">
        <v>3</v>
      </c>
      <c r="C890">
        <v>32.661000000000001</v>
      </c>
      <c r="D890">
        <v>3.2000000000000002E-3</v>
      </c>
      <c r="E890" t="s">
        <v>21</v>
      </c>
      <c r="F890">
        <v>0</v>
      </c>
      <c r="G890">
        <f>COUNTIF(E:E,E890)</f>
        <v>110</v>
      </c>
      <c r="H890">
        <f>COUNTIFS(E:E,E890,A:A,A890,D:D,D890)</f>
        <v>1</v>
      </c>
      <c r="I890" t="e">
        <f>SUMIF([1]Mapeamento!$J:$J,A890,[1]Mapeamento!$L:$L)</f>
        <v>#VALUE!</v>
      </c>
      <c r="J890" s="1" t="e">
        <f>SUMIF('[1]Map_Meso-Ox'!$C:$C,A890,'[1]Map_Meso-Ox'!$D:$D)</f>
        <v>#VALUE!</v>
      </c>
      <c r="K890" s="2" t="e">
        <f t="shared" si="28"/>
        <v>#VALUE!</v>
      </c>
      <c r="L890" s="1" t="e">
        <f>SUMIF('[1]Map_Meso-Ox'!$C:$C,A890,'[1]Map_Meso-Ox'!$E:$E)</f>
        <v>#VALUE!</v>
      </c>
      <c r="M890" s="2" t="e">
        <f t="shared" si="29"/>
        <v>#VALUE!</v>
      </c>
    </row>
    <row r="891" spans="1:13" x14ac:dyDescent="0.25">
      <c r="A891">
        <v>10</v>
      </c>
      <c r="B891">
        <v>3</v>
      </c>
      <c r="C891">
        <v>42.414000000000001</v>
      </c>
      <c r="D891">
        <v>1E-4</v>
      </c>
      <c r="E891" t="s">
        <v>21</v>
      </c>
      <c r="F891">
        <v>0</v>
      </c>
      <c r="G891">
        <f>COUNTIF(E:E,E891)</f>
        <v>110</v>
      </c>
      <c r="H891">
        <f>COUNTIFS(E:E,E891,A:A,A891,D:D,D891)</f>
        <v>1</v>
      </c>
      <c r="I891" t="e">
        <f>SUMIF([1]Mapeamento!$J:$J,A891,[1]Mapeamento!$L:$L)</f>
        <v>#VALUE!</v>
      </c>
      <c r="J891" s="1" t="e">
        <f>SUMIF('[1]Map_Meso-Ox'!$C:$C,A891,'[1]Map_Meso-Ox'!$D:$D)</f>
        <v>#VALUE!</v>
      </c>
      <c r="K891" s="2" t="e">
        <f t="shared" si="28"/>
        <v>#VALUE!</v>
      </c>
      <c r="L891" s="1" t="e">
        <f>SUMIF('[1]Map_Meso-Ox'!$C:$C,A891,'[1]Map_Meso-Ox'!$E:$E)</f>
        <v>#VALUE!</v>
      </c>
      <c r="M891" s="2" t="e">
        <f t="shared" si="29"/>
        <v>#VALUE!</v>
      </c>
    </row>
    <row r="892" spans="1:13" x14ac:dyDescent="0.25">
      <c r="A892">
        <v>11</v>
      </c>
      <c r="B892">
        <v>3</v>
      </c>
      <c r="C892">
        <v>46.405999999999999</v>
      </c>
      <c r="D892">
        <v>0</v>
      </c>
      <c r="E892" t="s">
        <v>21</v>
      </c>
      <c r="F892">
        <v>0</v>
      </c>
      <c r="G892">
        <f>COUNTIF(E:E,E892)</f>
        <v>110</v>
      </c>
      <c r="H892">
        <f>COUNTIFS(E:E,E892,A:A,A892,D:D,D892)</f>
        <v>1</v>
      </c>
      <c r="I892" t="e">
        <f>SUMIF([1]Mapeamento!$J:$J,A892,[1]Mapeamento!$L:$L)</f>
        <v>#VALUE!</v>
      </c>
      <c r="J892" s="1" t="e">
        <f>SUMIF('[1]Map_Meso-Ox'!$C:$C,A892,'[1]Map_Meso-Ox'!$D:$D)</f>
        <v>#VALUE!</v>
      </c>
      <c r="K892" s="2" t="e">
        <f t="shared" si="28"/>
        <v>#VALUE!</v>
      </c>
      <c r="L892" s="1" t="e">
        <f>SUMIF('[1]Map_Meso-Ox'!$C:$C,A892,'[1]Map_Meso-Ox'!$E:$E)</f>
        <v>#VALUE!</v>
      </c>
      <c r="M892" s="2" t="e">
        <f t="shared" si="29"/>
        <v>#VALUE!</v>
      </c>
    </row>
    <row r="893" spans="1:13" x14ac:dyDescent="0.25">
      <c r="A893">
        <v>12</v>
      </c>
      <c r="B893">
        <v>3</v>
      </c>
      <c r="C893">
        <v>64.355999999999995</v>
      </c>
      <c r="D893">
        <v>0</v>
      </c>
      <c r="E893" t="s">
        <v>21</v>
      </c>
      <c r="F893">
        <v>1</v>
      </c>
      <c r="G893">
        <f>COUNTIF(E:E,E893)</f>
        <v>110</v>
      </c>
      <c r="H893">
        <f>COUNTIFS(E:E,E893,A:A,A893,D:D,D893)</f>
        <v>1</v>
      </c>
      <c r="I893" t="e">
        <f>SUMIF([1]Mapeamento!$J:$J,A893,[1]Mapeamento!$L:$L)</f>
        <v>#VALUE!</v>
      </c>
      <c r="J893" s="1" t="e">
        <f>SUMIF('[1]Map_Meso-Ox'!$C:$C,A893,'[1]Map_Meso-Ox'!$D:$D)</f>
        <v>#VALUE!</v>
      </c>
      <c r="K893" s="2" t="e">
        <f t="shared" si="28"/>
        <v>#VALUE!</v>
      </c>
      <c r="L893" s="1" t="e">
        <f>SUMIF('[1]Map_Meso-Ox'!$C:$C,A893,'[1]Map_Meso-Ox'!$E:$E)</f>
        <v>#VALUE!</v>
      </c>
      <c r="M893" s="2" t="e">
        <f t="shared" si="29"/>
        <v>#VALUE!</v>
      </c>
    </row>
    <row r="894" spans="1:13" x14ac:dyDescent="0.25">
      <c r="A894">
        <v>13</v>
      </c>
      <c r="B894">
        <v>3</v>
      </c>
      <c r="C894">
        <v>68.241</v>
      </c>
      <c r="D894">
        <v>0</v>
      </c>
      <c r="E894" t="s">
        <v>21</v>
      </c>
      <c r="F894">
        <v>1</v>
      </c>
      <c r="G894">
        <f>COUNTIF(E:E,E894)</f>
        <v>110</v>
      </c>
      <c r="H894">
        <f>COUNTIFS(E:E,E894,A:A,A894,D:D,D894)</f>
        <v>1</v>
      </c>
      <c r="I894" t="e">
        <f>SUMIF([1]Mapeamento!$J:$J,A894,[1]Mapeamento!$L:$L)</f>
        <v>#VALUE!</v>
      </c>
      <c r="J894" s="1" t="e">
        <f>SUMIF('[1]Map_Meso-Ox'!$C:$C,A894,'[1]Map_Meso-Ox'!$D:$D)</f>
        <v>#VALUE!</v>
      </c>
      <c r="K894" s="2" t="e">
        <f t="shared" si="28"/>
        <v>#VALUE!</v>
      </c>
      <c r="L894" s="1" t="e">
        <f>SUMIF('[1]Map_Meso-Ox'!$C:$C,A894,'[1]Map_Meso-Ox'!$E:$E)</f>
        <v>#VALUE!</v>
      </c>
      <c r="M894" s="2" t="e">
        <f t="shared" si="29"/>
        <v>#VALUE!</v>
      </c>
    </row>
    <row r="895" spans="1:13" x14ac:dyDescent="0.25">
      <c r="A895">
        <v>14</v>
      </c>
      <c r="B895">
        <v>3</v>
      </c>
      <c r="C895">
        <v>66.662000000000006</v>
      </c>
      <c r="D895">
        <v>0</v>
      </c>
      <c r="E895" t="s">
        <v>21</v>
      </c>
      <c r="F895">
        <v>1</v>
      </c>
      <c r="G895">
        <f>COUNTIF(E:E,E895)</f>
        <v>110</v>
      </c>
      <c r="H895">
        <f>COUNTIFS(E:E,E895,A:A,A895,D:D,D895)</f>
        <v>1</v>
      </c>
      <c r="I895" t="e">
        <f>SUMIF([1]Mapeamento!$J:$J,A895,[1]Mapeamento!$L:$L)</f>
        <v>#VALUE!</v>
      </c>
      <c r="J895" s="1" t="e">
        <f>SUMIF('[1]Map_Meso-Ox'!$C:$C,A895,'[1]Map_Meso-Ox'!$D:$D)</f>
        <v>#VALUE!</v>
      </c>
      <c r="K895" s="2" t="e">
        <f t="shared" si="28"/>
        <v>#VALUE!</v>
      </c>
      <c r="L895" s="1" t="e">
        <f>SUMIF('[1]Map_Meso-Ox'!$C:$C,A895,'[1]Map_Meso-Ox'!$E:$E)</f>
        <v>#VALUE!</v>
      </c>
      <c r="M895" s="2" t="e">
        <f t="shared" si="29"/>
        <v>#VALUE!</v>
      </c>
    </row>
    <row r="896" spans="1:13" x14ac:dyDescent="0.25">
      <c r="A896">
        <v>15</v>
      </c>
      <c r="B896">
        <v>3</v>
      </c>
      <c r="C896">
        <v>42.926000000000002</v>
      </c>
      <c r="D896">
        <v>1E-4</v>
      </c>
      <c r="E896" t="s">
        <v>21</v>
      </c>
      <c r="F896">
        <v>0</v>
      </c>
      <c r="G896">
        <f>COUNTIF(E:E,E896)</f>
        <v>110</v>
      </c>
      <c r="H896">
        <f>COUNTIFS(E:E,E896,A:A,A896,D:D,D896)</f>
        <v>1</v>
      </c>
      <c r="I896" t="e">
        <f>SUMIF([1]Mapeamento!$J:$J,A896,[1]Mapeamento!$L:$L)</f>
        <v>#VALUE!</v>
      </c>
      <c r="J896" s="1" t="e">
        <f>SUMIF('[1]Map_Meso-Ox'!$C:$C,A896,'[1]Map_Meso-Ox'!$D:$D)</f>
        <v>#VALUE!</v>
      </c>
      <c r="K896" s="2" t="e">
        <f t="shared" si="28"/>
        <v>#VALUE!</v>
      </c>
      <c r="L896" s="1" t="e">
        <f>SUMIF('[1]Map_Meso-Ox'!$C:$C,A896,'[1]Map_Meso-Ox'!$E:$E)</f>
        <v>#VALUE!</v>
      </c>
      <c r="M896" s="2" t="e">
        <f t="shared" si="29"/>
        <v>#VALUE!</v>
      </c>
    </row>
    <row r="897" spans="1:13" x14ac:dyDescent="0.25">
      <c r="A897">
        <v>16</v>
      </c>
      <c r="B897">
        <v>3</v>
      </c>
      <c r="C897">
        <v>70.542000000000002</v>
      </c>
      <c r="D897">
        <v>0</v>
      </c>
      <c r="E897" t="s">
        <v>21</v>
      </c>
      <c r="F897">
        <v>1</v>
      </c>
      <c r="G897">
        <f>COUNTIF(E:E,E897)</f>
        <v>110</v>
      </c>
      <c r="H897">
        <f>COUNTIFS(E:E,E897,A:A,A897,D:D,D897)</f>
        <v>1</v>
      </c>
      <c r="I897" t="e">
        <f>SUMIF([1]Mapeamento!$J:$J,A897,[1]Mapeamento!$L:$L)</f>
        <v>#VALUE!</v>
      </c>
      <c r="J897" s="1" t="e">
        <f>SUMIF('[1]Map_Meso-Ox'!$C:$C,A897,'[1]Map_Meso-Ox'!$D:$D)</f>
        <v>#VALUE!</v>
      </c>
      <c r="K897" s="2" t="e">
        <f t="shared" si="28"/>
        <v>#VALUE!</v>
      </c>
      <c r="L897" s="1" t="e">
        <f>SUMIF('[1]Map_Meso-Ox'!$C:$C,A897,'[1]Map_Meso-Ox'!$E:$E)</f>
        <v>#VALUE!</v>
      </c>
      <c r="M897" s="2" t="e">
        <f t="shared" si="29"/>
        <v>#VALUE!</v>
      </c>
    </row>
    <row r="898" spans="1:13" x14ac:dyDescent="0.25">
      <c r="A898">
        <v>17</v>
      </c>
      <c r="B898">
        <v>3</v>
      </c>
      <c r="C898">
        <v>73.646000000000001</v>
      </c>
      <c r="D898">
        <v>0</v>
      </c>
      <c r="E898" t="s">
        <v>21</v>
      </c>
      <c r="F898">
        <v>3</v>
      </c>
      <c r="G898">
        <f>COUNTIF(E:E,E898)</f>
        <v>110</v>
      </c>
      <c r="H898">
        <f>COUNTIFS(E:E,E898,A:A,A898,D:D,D898)</f>
        <v>1</v>
      </c>
      <c r="I898" t="e">
        <f>SUMIF([1]Mapeamento!$J:$J,A898,[1]Mapeamento!$L:$L)</f>
        <v>#VALUE!</v>
      </c>
      <c r="J898" s="1" t="e">
        <f>SUMIF('[1]Map_Meso-Ox'!$C:$C,A898,'[1]Map_Meso-Ox'!$D:$D)</f>
        <v>#VALUE!</v>
      </c>
      <c r="K898" s="2" t="e">
        <f t="shared" si="28"/>
        <v>#VALUE!</v>
      </c>
      <c r="L898" s="1" t="e">
        <f>SUMIF('[1]Map_Meso-Ox'!$C:$C,A898,'[1]Map_Meso-Ox'!$E:$E)</f>
        <v>#VALUE!</v>
      </c>
      <c r="M898" s="2" t="e">
        <f t="shared" si="29"/>
        <v>#VALUE!</v>
      </c>
    </row>
    <row r="899" spans="1:13" x14ac:dyDescent="0.25">
      <c r="A899">
        <v>18</v>
      </c>
      <c r="B899">
        <v>3</v>
      </c>
      <c r="C899">
        <v>69.311000000000007</v>
      </c>
      <c r="D899">
        <v>0</v>
      </c>
      <c r="E899" t="s">
        <v>21</v>
      </c>
      <c r="F899">
        <v>3</v>
      </c>
      <c r="G899">
        <f>COUNTIF(E:E,E899)</f>
        <v>110</v>
      </c>
      <c r="H899">
        <f>COUNTIFS(E:E,E899,A:A,A899,D:D,D899)</f>
        <v>1</v>
      </c>
      <c r="I899" t="e">
        <f>SUMIF([1]Mapeamento!$J:$J,A899,[1]Mapeamento!$L:$L)</f>
        <v>#VALUE!</v>
      </c>
      <c r="J899" s="1" t="e">
        <f>SUMIF('[1]Map_Meso-Ox'!$C:$C,A899,'[1]Map_Meso-Ox'!$D:$D)</f>
        <v>#VALUE!</v>
      </c>
      <c r="K899" s="2" t="e">
        <f t="shared" si="28"/>
        <v>#VALUE!</v>
      </c>
      <c r="L899" s="1" t="e">
        <f>SUMIF('[1]Map_Meso-Ox'!$C:$C,A899,'[1]Map_Meso-Ox'!$E:$E)</f>
        <v>#VALUE!</v>
      </c>
      <c r="M899" s="2" t="e">
        <f t="shared" si="29"/>
        <v>#VALUE!</v>
      </c>
    </row>
    <row r="900" spans="1:13" x14ac:dyDescent="0.25">
      <c r="A900">
        <v>19</v>
      </c>
      <c r="B900">
        <v>3</v>
      </c>
      <c r="C900">
        <v>78.843000000000004</v>
      </c>
      <c r="D900">
        <v>0</v>
      </c>
      <c r="E900" t="s">
        <v>21</v>
      </c>
      <c r="F900">
        <v>2</v>
      </c>
      <c r="G900">
        <f>COUNTIF(E:E,E900)</f>
        <v>110</v>
      </c>
      <c r="H900">
        <f>COUNTIFS(E:E,E900,A:A,A900,D:D,D900)</f>
        <v>1</v>
      </c>
      <c r="I900" t="e">
        <f>SUMIF([1]Mapeamento!$J:$J,A900,[1]Mapeamento!$L:$L)</f>
        <v>#VALUE!</v>
      </c>
      <c r="J900" s="1" t="e">
        <f>SUMIF('[1]Map_Meso-Ox'!$C:$C,A900,'[1]Map_Meso-Ox'!$D:$D)</f>
        <v>#VALUE!</v>
      </c>
      <c r="K900" s="2" t="e">
        <f t="shared" si="28"/>
        <v>#VALUE!</v>
      </c>
      <c r="L900" s="1" t="e">
        <f>SUMIF('[1]Map_Meso-Ox'!$C:$C,A900,'[1]Map_Meso-Ox'!$E:$E)</f>
        <v>#VALUE!</v>
      </c>
      <c r="M900" s="2" t="e">
        <f t="shared" si="29"/>
        <v>#VALUE!</v>
      </c>
    </row>
    <row r="901" spans="1:13" x14ac:dyDescent="0.25">
      <c r="A901">
        <v>20</v>
      </c>
      <c r="B901">
        <v>3</v>
      </c>
      <c r="C901">
        <v>65.555000000000007</v>
      </c>
      <c r="D901">
        <v>0</v>
      </c>
      <c r="E901" t="s">
        <v>21</v>
      </c>
      <c r="F901">
        <v>2</v>
      </c>
      <c r="G901">
        <f>COUNTIF(E:E,E901)</f>
        <v>110</v>
      </c>
      <c r="H901">
        <f>COUNTIFS(E:E,E901,A:A,A901,D:D,D901)</f>
        <v>1</v>
      </c>
      <c r="I901" t="e">
        <f>SUMIF([1]Mapeamento!$J:$J,A901,[1]Mapeamento!$L:$L)</f>
        <v>#VALUE!</v>
      </c>
      <c r="J901" s="1" t="e">
        <f>SUMIF('[1]Map_Meso-Ox'!$C:$C,A901,'[1]Map_Meso-Ox'!$D:$D)</f>
        <v>#VALUE!</v>
      </c>
      <c r="K901" s="2" t="e">
        <f t="shared" si="28"/>
        <v>#VALUE!</v>
      </c>
      <c r="L901" s="1" t="e">
        <f>SUMIF('[1]Map_Meso-Ox'!$C:$C,A901,'[1]Map_Meso-Ox'!$E:$E)</f>
        <v>#VALUE!</v>
      </c>
      <c r="M901" s="2" t="e">
        <f t="shared" si="29"/>
        <v>#VALUE!</v>
      </c>
    </row>
    <row r="902" spans="1:13" x14ac:dyDescent="0.25">
      <c r="A902">
        <v>21</v>
      </c>
      <c r="B902">
        <v>3</v>
      </c>
      <c r="C902">
        <v>68.864000000000004</v>
      </c>
      <c r="D902">
        <v>0</v>
      </c>
      <c r="E902" t="s">
        <v>21</v>
      </c>
      <c r="F902">
        <v>2</v>
      </c>
      <c r="G902">
        <f>COUNTIF(E:E,E902)</f>
        <v>110</v>
      </c>
      <c r="H902">
        <f>COUNTIFS(E:E,E902,A:A,A902,D:D,D902)</f>
        <v>1</v>
      </c>
      <c r="I902" t="e">
        <f>SUMIF([1]Mapeamento!$J:$J,A902,[1]Mapeamento!$L:$L)</f>
        <v>#VALUE!</v>
      </c>
      <c r="J902" s="1" t="e">
        <f>SUMIF('[1]Map_Meso-Ox'!$C:$C,A902,'[1]Map_Meso-Ox'!$D:$D)</f>
        <v>#VALUE!</v>
      </c>
      <c r="K902" s="2" t="e">
        <f t="shared" si="28"/>
        <v>#VALUE!</v>
      </c>
      <c r="L902" s="1" t="e">
        <f>SUMIF('[1]Map_Meso-Ox'!$C:$C,A902,'[1]Map_Meso-Ox'!$E:$E)</f>
        <v>#VALUE!</v>
      </c>
      <c r="M902" s="2" t="e">
        <f t="shared" si="29"/>
        <v>#VALUE!</v>
      </c>
    </row>
    <row r="903" spans="1:13" x14ac:dyDescent="0.25">
      <c r="A903">
        <v>22</v>
      </c>
      <c r="B903">
        <v>3</v>
      </c>
      <c r="C903">
        <v>47.569000000000003</v>
      </c>
      <c r="D903">
        <v>0</v>
      </c>
      <c r="E903" t="s">
        <v>21</v>
      </c>
      <c r="F903">
        <v>3</v>
      </c>
      <c r="G903">
        <f>COUNTIF(E:E,E903)</f>
        <v>110</v>
      </c>
      <c r="H903">
        <f>COUNTIFS(E:E,E903,A:A,A903,D:D,D903)</f>
        <v>1</v>
      </c>
      <c r="I903" t="e">
        <f>SUMIF([1]Mapeamento!$J:$J,A903,[1]Mapeamento!$L:$L)</f>
        <v>#VALUE!</v>
      </c>
      <c r="J903" s="1" t="e">
        <f>SUMIF('[1]Map_Meso-Ox'!$C:$C,A903,'[1]Map_Meso-Ox'!$D:$D)</f>
        <v>#VALUE!</v>
      </c>
      <c r="K903" s="2" t="e">
        <f t="shared" si="28"/>
        <v>#VALUE!</v>
      </c>
      <c r="L903" s="1" t="e">
        <f>SUMIF('[1]Map_Meso-Ox'!$C:$C,A903,'[1]Map_Meso-Ox'!$E:$E)</f>
        <v>#VALUE!</v>
      </c>
      <c r="M903" s="2" t="e">
        <f t="shared" si="29"/>
        <v>#VALUE!</v>
      </c>
    </row>
    <row r="904" spans="1:13" x14ac:dyDescent="0.25">
      <c r="A904">
        <v>23</v>
      </c>
      <c r="B904">
        <v>3</v>
      </c>
      <c r="C904">
        <v>65.472999999999999</v>
      </c>
      <c r="D904">
        <v>0</v>
      </c>
      <c r="E904" t="s">
        <v>21</v>
      </c>
      <c r="F904">
        <v>1</v>
      </c>
      <c r="G904">
        <f>COUNTIF(E:E,E904)</f>
        <v>110</v>
      </c>
      <c r="H904">
        <f>COUNTIFS(E:E,E904,A:A,A904,D:D,D904)</f>
        <v>1</v>
      </c>
      <c r="I904" t="e">
        <f>SUMIF([1]Mapeamento!$J:$J,A904,[1]Mapeamento!$L:$L)</f>
        <v>#VALUE!</v>
      </c>
      <c r="J904" s="1" t="e">
        <f>SUMIF('[1]Map_Meso-Ox'!$C:$C,A904,'[1]Map_Meso-Ox'!$D:$D)</f>
        <v>#VALUE!</v>
      </c>
      <c r="K904" s="2" t="e">
        <f t="shared" si="28"/>
        <v>#VALUE!</v>
      </c>
      <c r="L904" s="1" t="e">
        <f>SUMIF('[1]Map_Meso-Ox'!$C:$C,A904,'[1]Map_Meso-Ox'!$E:$E)</f>
        <v>#VALUE!</v>
      </c>
      <c r="M904" s="2" t="e">
        <f t="shared" si="29"/>
        <v>#VALUE!</v>
      </c>
    </row>
    <row r="905" spans="1:13" x14ac:dyDescent="0.25">
      <c r="A905">
        <v>24</v>
      </c>
      <c r="B905">
        <v>3</v>
      </c>
      <c r="C905">
        <v>57.93</v>
      </c>
      <c r="D905">
        <v>0</v>
      </c>
      <c r="E905" t="s">
        <v>21</v>
      </c>
      <c r="F905">
        <v>1</v>
      </c>
      <c r="G905">
        <f>COUNTIF(E:E,E905)</f>
        <v>110</v>
      </c>
      <c r="H905">
        <f>COUNTIFS(E:E,E905,A:A,A905,D:D,D905)</f>
        <v>1</v>
      </c>
      <c r="I905" t="e">
        <f>SUMIF([1]Mapeamento!$J:$J,A905,[1]Mapeamento!$L:$L)</f>
        <v>#VALUE!</v>
      </c>
      <c r="J905" s="1" t="e">
        <f>SUMIF('[1]Map_Meso-Ox'!$C:$C,A905,'[1]Map_Meso-Ox'!$D:$D)</f>
        <v>#VALUE!</v>
      </c>
      <c r="K905" s="2" t="e">
        <f t="shared" si="28"/>
        <v>#VALUE!</v>
      </c>
      <c r="L905" s="1" t="e">
        <f>SUMIF('[1]Map_Meso-Ox'!$C:$C,A905,'[1]Map_Meso-Ox'!$E:$E)</f>
        <v>#VALUE!</v>
      </c>
      <c r="M905" s="2" t="e">
        <f t="shared" si="29"/>
        <v>#VALUE!</v>
      </c>
    </row>
    <row r="906" spans="1:13" x14ac:dyDescent="0.25">
      <c r="A906">
        <v>25</v>
      </c>
      <c r="B906">
        <v>3</v>
      </c>
      <c r="C906">
        <v>45.008000000000003</v>
      </c>
      <c r="D906">
        <v>0</v>
      </c>
      <c r="E906" t="s">
        <v>21</v>
      </c>
      <c r="F906">
        <v>1</v>
      </c>
      <c r="G906">
        <f>COUNTIF(E:E,E906)</f>
        <v>110</v>
      </c>
      <c r="H906">
        <f>COUNTIFS(E:E,E906,A:A,A906,D:D,D906)</f>
        <v>1</v>
      </c>
      <c r="I906" t="e">
        <f>SUMIF([1]Mapeamento!$J:$J,A906,[1]Mapeamento!$L:$L)</f>
        <v>#VALUE!</v>
      </c>
      <c r="J906" s="1" t="e">
        <f>SUMIF('[1]Map_Meso-Ox'!$C:$C,A906,'[1]Map_Meso-Ox'!$D:$D)</f>
        <v>#VALUE!</v>
      </c>
      <c r="K906" s="2" t="e">
        <f t="shared" si="28"/>
        <v>#VALUE!</v>
      </c>
      <c r="L906" s="1" t="e">
        <f>SUMIF('[1]Map_Meso-Ox'!$C:$C,A906,'[1]Map_Meso-Ox'!$E:$E)</f>
        <v>#VALUE!</v>
      </c>
      <c r="M906" s="2" t="e">
        <f t="shared" si="29"/>
        <v>#VALUE!</v>
      </c>
    </row>
    <row r="907" spans="1:13" x14ac:dyDescent="0.25">
      <c r="A907">
        <v>26</v>
      </c>
      <c r="B907">
        <v>3</v>
      </c>
      <c r="C907">
        <v>80.263000000000005</v>
      </c>
      <c r="D907">
        <v>0</v>
      </c>
      <c r="E907" t="s">
        <v>21</v>
      </c>
      <c r="F907">
        <v>2</v>
      </c>
      <c r="G907">
        <f>COUNTIF(E:E,E907)</f>
        <v>110</v>
      </c>
      <c r="H907">
        <f>COUNTIFS(E:E,E907,A:A,A907,D:D,D907)</f>
        <v>1</v>
      </c>
      <c r="I907" t="e">
        <f>SUMIF([1]Mapeamento!$J:$J,A907,[1]Mapeamento!$L:$L)</f>
        <v>#VALUE!</v>
      </c>
      <c r="J907" s="1" t="e">
        <f>SUMIF('[1]Map_Meso-Ox'!$C:$C,A907,'[1]Map_Meso-Ox'!$D:$D)</f>
        <v>#VALUE!</v>
      </c>
      <c r="K907" s="2" t="e">
        <f t="shared" si="28"/>
        <v>#VALUE!</v>
      </c>
      <c r="L907" s="1" t="e">
        <f>SUMIF('[1]Map_Meso-Ox'!$C:$C,A907,'[1]Map_Meso-Ox'!$E:$E)</f>
        <v>#VALUE!</v>
      </c>
      <c r="M907" s="2" t="e">
        <f t="shared" si="29"/>
        <v>#VALUE!</v>
      </c>
    </row>
    <row r="908" spans="1:13" x14ac:dyDescent="0.25">
      <c r="A908">
        <v>27</v>
      </c>
      <c r="B908">
        <v>3</v>
      </c>
      <c r="C908">
        <v>49.305</v>
      </c>
      <c r="D908">
        <v>0</v>
      </c>
      <c r="E908" t="s">
        <v>21</v>
      </c>
      <c r="F908">
        <v>0</v>
      </c>
      <c r="G908">
        <f>COUNTIF(E:E,E908)</f>
        <v>110</v>
      </c>
      <c r="H908">
        <f>COUNTIFS(E:E,E908,A:A,A908,D:D,D908)</f>
        <v>1</v>
      </c>
      <c r="I908" t="e">
        <f>SUMIF([1]Mapeamento!$J:$J,A908,[1]Mapeamento!$L:$L)</f>
        <v>#VALUE!</v>
      </c>
      <c r="J908" s="1" t="e">
        <f>SUMIF('[1]Map_Meso-Ox'!$C:$C,A908,'[1]Map_Meso-Ox'!$D:$D)</f>
        <v>#VALUE!</v>
      </c>
      <c r="K908" s="2" t="e">
        <f t="shared" si="28"/>
        <v>#VALUE!</v>
      </c>
      <c r="L908" s="1" t="e">
        <f>SUMIF('[1]Map_Meso-Ox'!$C:$C,A908,'[1]Map_Meso-Ox'!$E:$E)</f>
        <v>#VALUE!</v>
      </c>
      <c r="M908" s="2" t="e">
        <f t="shared" si="29"/>
        <v>#VALUE!</v>
      </c>
    </row>
    <row r="909" spans="1:13" x14ac:dyDescent="0.25">
      <c r="A909">
        <v>28</v>
      </c>
      <c r="B909">
        <v>3</v>
      </c>
      <c r="C909">
        <v>64.825999999999993</v>
      </c>
      <c r="D909">
        <v>0</v>
      </c>
      <c r="E909" t="s">
        <v>21</v>
      </c>
      <c r="F909">
        <v>2</v>
      </c>
      <c r="G909">
        <f>COUNTIF(E:E,E909)</f>
        <v>110</v>
      </c>
      <c r="H909">
        <f>COUNTIFS(E:E,E909,A:A,A909,D:D,D909)</f>
        <v>1</v>
      </c>
      <c r="I909" t="e">
        <f>SUMIF([1]Mapeamento!$J:$J,A909,[1]Mapeamento!$L:$L)</f>
        <v>#VALUE!</v>
      </c>
      <c r="J909" s="1" t="e">
        <f>SUMIF('[1]Map_Meso-Ox'!$C:$C,A909,'[1]Map_Meso-Ox'!$D:$D)</f>
        <v>#VALUE!</v>
      </c>
      <c r="K909" s="2" t="e">
        <f t="shared" si="28"/>
        <v>#VALUE!</v>
      </c>
      <c r="L909" s="1" t="e">
        <f>SUMIF('[1]Map_Meso-Ox'!$C:$C,A909,'[1]Map_Meso-Ox'!$E:$E)</f>
        <v>#VALUE!</v>
      </c>
      <c r="M909" s="2" t="e">
        <f t="shared" si="29"/>
        <v>#VALUE!</v>
      </c>
    </row>
    <row r="910" spans="1:13" x14ac:dyDescent="0.25">
      <c r="A910">
        <v>29</v>
      </c>
      <c r="B910">
        <v>3</v>
      </c>
      <c r="C910">
        <v>62.808999999999997</v>
      </c>
      <c r="D910">
        <v>0</v>
      </c>
      <c r="E910" t="s">
        <v>21</v>
      </c>
      <c r="F910">
        <v>1</v>
      </c>
      <c r="G910">
        <f>COUNTIF(E:E,E910)</f>
        <v>110</v>
      </c>
      <c r="H910">
        <f>COUNTIFS(E:E,E910,A:A,A910,D:D,D910)</f>
        <v>1</v>
      </c>
      <c r="I910" t="e">
        <f>SUMIF([1]Mapeamento!$J:$J,A910,[1]Mapeamento!$L:$L)</f>
        <v>#VALUE!</v>
      </c>
      <c r="J910" s="1" t="e">
        <f>SUMIF('[1]Map_Meso-Ox'!$C:$C,A910,'[1]Map_Meso-Ox'!$D:$D)</f>
        <v>#VALUE!</v>
      </c>
      <c r="K910" s="2" t="e">
        <f t="shared" si="28"/>
        <v>#VALUE!</v>
      </c>
      <c r="L910" s="1" t="e">
        <f>SUMIF('[1]Map_Meso-Ox'!$C:$C,A910,'[1]Map_Meso-Ox'!$E:$E)</f>
        <v>#VALUE!</v>
      </c>
      <c r="M910" s="2" t="e">
        <f t="shared" si="29"/>
        <v>#VALUE!</v>
      </c>
    </row>
    <row r="911" spans="1:13" x14ac:dyDescent="0.25">
      <c r="A911">
        <v>30</v>
      </c>
      <c r="B911">
        <v>3</v>
      </c>
      <c r="C911">
        <v>56.765000000000001</v>
      </c>
      <c r="D911">
        <v>0</v>
      </c>
      <c r="E911" t="s">
        <v>21</v>
      </c>
      <c r="F911">
        <v>1</v>
      </c>
      <c r="G911">
        <f>COUNTIF(E:E,E911)</f>
        <v>110</v>
      </c>
      <c r="H911">
        <f>COUNTIFS(E:E,E911,A:A,A911,D:D,D911)</f>
        <v>1</v>
      </c>
      <c r="I911" t="e">
        <f>SUMIF([1]Mapeamento!$J:$J,A911,[1]Mapeamento!$L:$L)</f>
        <v>#VALUE!</v>
      </c>
      <c r="J911" s="1" t="e">
        <f>SUMIF('[1]Map_Meso-Ox'!$C:$C,A911,'[1]Map_Meso-Ox'!$D:$D)</f>
        <v>#VALUE!</v>
      </c>
      <c r="K911" s="2" t="e">
        <f t="shared" si="28"/>
        <v>#VALUE!</v>
      </c>
      <c r="L911" s="1" t="e">
        <f>SUMIF('[1]Map_Meso-Ox'!$C:$C,A911,'[1]Map_Meso-Ox'!$E:$E)</f>
        <v>#VALUE!</v>
      </c>
      <c r="M911" s="2" t="e">
        <f t="shared" si="29"/>
        <v>#VALUE!</v>
      </c>
    </row>
    <row r="912" spans="1:13" x14ac:dyDescent="0.25">
      <c r="A912">
        <v>31</v>
      </c>
      <c r="B912">
        <v>3</v>
      </c>
      <c r="C912">
        <v>90.5</v>
      </c>
      <c r="D912">
        <v>0</v>
      </c>
      <c r="E912" t="s">
        <v>21</v>
      </c>
      <c r="F912">
        <v>1</v>
      </c>
      <c r="G912">
        <f>COUNTIF(E:E,E912)</f>
        <v>110</v>
      </c>
      <c r="H912">
        <f>COUNTIFS(E:E,E912,A:A,A912,D:D,D912)</f>
        <v>1</v>
      </c>
      <c r="I912" t="e">
        <f>SUMIF([1]Mapeamento!$J:$J,A912,[1]Mapeamento!$L:$L)</f>
        <v>#VALUE!</v>
      </c>
      <c r="J912" s="1" t="e">
        <f>SUMIF('[1]Map_Meso-Ox'!$C:$C,A912,'[1]Map_Meso-Ox'!$D:$D)</f>
        <v>#VALUE!</v>
      </c>
      <c r="K912" s="2" t="e">
        <f t="shared" si="28"/>
        <v>#VALUE!</v>
      </c>
      <c r="L912" s="1" t="e">
        <f>SUMIF('[1]Map_Meso-Ox'!$C:$C,A912,'[1]Map_Meso-Ox'!$E:$E)</f>
        <v>#VALUE!</v>
      </c>
      <c r="M912" s="2" t="e">
        <f t="shared" si="29"/>
        <v>#VALUE!</v>
      </c>
    </row>
    <row r="913" spans="1:13" x14ac:dyDescent="0.25">
      <c r="A913">
        <v>32</v>
      </c>
      <c r="B913">
        <v>3</v>
      </c>
      <c r="C913">
        <v>75.486999999999995</v>
      </c>
      <c r="D913">
        <v>0</v>
      </c>
      <c r="E913" t="s">
        <v>21</v>
      </c>
      <c r="F913">
        <v>1</v>
      </c>
      <c r="G913">
        <f>COUNTIF(E:E,E913)</f>
        <v>110</v>
      </c>
      <c r="H913">
        <f>COUNTIFS(E:E,E913,A:A,A913,D:D,D913)</f>
        <v>1</v>
      </c>
      <c r="I913" t="e">
        <f>SUMIF([1]Mapeamento!$J:$J,A913,[1]Mapeamento!$L:$L)</f>
        <v>#VALUE!</v>
      </c>
      <c r="J913" s="1" t="e">
        <f>SUMIF('[1]Map_Meso-Ox'!$C:$C,A913,'[1]Map_Meso-Ox'!$D:$D)</f>
        <v>#VALUE!</v>
      </c>
      <c r="K913" s="2" t="e">
        <f t="shared" si="28"/>
        <v>#VALUE!</v>
      </c>
      <c r="L913" s="1" t="e">
        <f>SUMIF('[1]Map_Meso-Ox'!$C:$C,A913,'[1]Map_Meso-Ox'!$E:$E)</f>
        <v>#VALUE!</v>
      </c>
      <c r="M913" s="2" t="e">
        <f t="shared" si="29"/>
        <v>#VALUE!</v>
      </c>
    </row>
    <row r="914" spans="1:13" x14ac:dyDescent="0.25">
      <c r="A914">
        <v>33</v>
      </c>
      <c r="B914">
        <v>3</v>
      </c>
      <c r="C914">
        <v>38.201000000000001</v>
      </c>
      <c r="D914">
        <v>5.0000000000000001E-4</v>
      </c>
      <c r="E914" t="s">
        <v>21</v>
      </c>
      <c r="F914">
        <v>0</v>
      </c>
      <c r="G914">
        <f>COUNTIF(E:E,E914)</f>
        <v>110</v>
      </c>
      <c r="H914">
        <f>COUNTIFS(E:E,E914,A:A,A914,D:D,D914)</f>
        <v>1</v>
      </c>
      <c r="I914" t="e">
        <f>SUMIF([1]Mapeamento!$J:$J,A914,[1]Mapeamento!$L:$L)</f>
        <v>#VALUE!</v>
      </c>
      <c r="J914" s="1" t="e">
        <f>SUMIF('[1]Map_Meso-Ox'!$C:$C,A914,'[1]Map_Meso-Ox'!$D:$D)</f>
        <v>#VALUE!</v>
      </c>
      <c r="K914" s="2" t="e">
        <f t="shared" si="28"/>
        <v>#VALUE!</v>
      </c>
      <c r="L914" s="1" t="e">
        <f>SUMIF('[1]Map_Meso-Ox'!$C:$C,A914,'[1]Map_Meso-Ox'!$E:$E)</f>
        <v>#VALUE!</v>
      </c>
      <c r="M914" s="2" t="e">
        <f t="shared" si="29"/>
        <v>#VALUE!</v>
      </c>
    </row>
    <row r="915" spans="1:13" x14ac:dyDescent="0.25">
      <c r="A915">
        <v>34</v>
      </c>
      <c r="B915">
        <v>3</v>
      </c>
      <c r="C915">
        <v>59.994999999999997</v>
      </c>
      <c r="D915">
        <v>0</v>
      </c>
      <c r="E915" t="s">
        <v>21</v>
      </c>
      <c r="F915">
        <v>2</v>
      </c>
      <c r="G915">
        <f>COUNTIF(E:E,E915)</f>
        <v>110</v>
      </c>
      <c r="H915">
        <f>COUNTIFS(E:E,E915,A:A,A915,D:D,D915)</f>
        <v>1</v>
      </c>
      <c r="I915" t="e">
        <f>SUMIF([1]Mapeamento!$J:$J,A915,[1]Mapeamento!$L:$L)</f>
        <v>#VALUE!</v>
      </c>
      <c r="J915" s="1" t="e">
        <f>SUMIF('[1]Map_Meso-Ox'!$C:$C,A915,'[1]Map_Meso-Ox'!$D:$D)</f>
        <v>#VALUE!</v>
      </c>
      <c r="K915" s="2" t="e">
        <f t="shared" si="28"/>
        <v>#VALUE!</v>
      </c>
      <c r="L915" s="1" t="e">
        <f>SUMIF('[1]Map_Meso-Ox'!$C:$C,A915,'[1]Map_Meso-Ox'!$E:$E)</f>
        <v>#VALUE!</v>
      </c>
      <c r="M915" s="2" t="e">
        <f t="shared" si="29"/>
        <v>#VALUE!</v>
      </c>
    </row>
    <row r="916" spans="1:13" x14ac:dyDescent="0.25">
      <c r="A916">
        <v>35</v>
      </c>
      <c r="B916">
        <v>3</v>
      </c>
      <c r="C916">
        <v>33.978999999999999</v>
      </c>
      <c r="D916">
        <v>2.0999999999999999E-3</v>
      </c>
      <c r="E916" t="s">
        <v>21</v>
      </c>
      <c r="F916">
        <v>0</v>
      </c>
      <c r="G916">
        <f>COUNTIF(E:E,E916)</f>
        <v>110</v>
      </c>
      <c r="H916">
        <f>COUNTIFS(E:E,E916,A:A,A916,D:D,D916)</f>
        <v>1</v>
      </c>
      <c r="I916" t="e">
        <f>SUMIF([1]Mapeamento!$J:$J,A916,[1]Mapeamento!$L:$L)</f>
        <v>#VALUE!</v>
      </c>
      <c r="J916" s="1" t="e">
        <f>SUMIF('[1]Map_Meso-Ox'!$C:$C,A916,'[1]Map_Meso-Ox'!$D:$D)</f>
        <v>#VALUE!</v>
      </c>
      <c r="K916" s="2" t="e">
        <f t="shared" si="28"/>
        <v>#VALUE!</v>
      </c>
      <c r="L916" s="1" t="e">
        <f>SUMIF('[1]Map_Meso-Ox'!$C:$C,A916,'[1]Map_Meso-Ox'!$E:$E)</f>
        <v>#VALUE!</v>
      </c>
      <c r="M916" s="2" t="e">
        <f t="shared" si="29"/>
        <v>#VALUE!</v>
      </c>
    </row>
    <row r="917" spans="1:13" x14ac:dyDescent="0.25">
      <c r="A917">
        <v>36</v>
      </c>
      <c r="B917">
        <v>3</v>
      </c>
      <c r="C917">
        <v>61.622999999999998</v>
      </c>
      <c r="D917">
        <v>0</v>
      </c>
      <c r="E917" t="s">
        <v>21</v>
      </c>
      <c r="F917">
        <v>2</v>
      </c>
      <c r="G917">
        <f>COUNTIF(E:E,E917)</f>
        <v>110</v>
      </c>
      <c r="H917">
        <f>COUNTIFS(E:E,E917,A:A,A917,D:D,D917)</f>
        <v>1</v>
      </c>
      <c r="I917" t="e">
        <f>SUMIF([1]Mapeamento!$J:$J,A917,[1]Mapeamento!$L:$L)</f>
        <v>#VALUE!</v>
      </c>
      <c r="J917" s="1" t="e">
        <f>SUMIF('[1]Map_Meso-Ox'!$C:$C,A917,'[1]Map_Meso-Ox'!$D:$D)</f>
        <v>#VALUE!</v>
      </c>
      <c r="K917" s="2" t="e">
        <f t="shared" si="28"/>
        <v>#VALUE!</v>
      </c>
      <c r="L917" s="1" t="e">
        <f>SUMIF('[1]Map_Meso-Ox'!$C:$C,A917,'[1]Map_Meso-Ox'!$E:$E)</f>
        <v>#VALUE!</v>
      </c>
      <c r="M917" s="2" t="e">
        <f t="shared" si="29"/>
        <v>#VALUE!</v>
      </c>
    </row>
    <row r="918" spans="1:13" x14ac:dyDescent="0.25">
      <c r="A918">
        <v>37</v>
      </c>
      <c r="B918">
        <v>3</v>
      </c>
      <c r="C918">
        <v>47.326999999999998</v>
      </c>
      <c r="D918">
        <v>0</v>
      </c>
      <c r="E918" t="s">
        <v>21</v>
      </c>
      <c r="F918">
        <v>1</v>
      </c>
      <c r="G918">
        <f>COUNTIF(E:E,E918)</f>
        <v>110</v>
      </c>
      <c r="H918">
        <f>COUNTIFS(E:E,E918,A:A,A918,D:D,D918)</f>
        <v>1</v>
      </c>
      <c r="I918" t="e">
        <f>SUMIF([1]Mapeamento!$J:$J,A918,[1]Mapeamento!$L:$L)</f>
        <v>#VALUE!</v>
      </c>
      <c r="J918" s="1" t="e">
        <f>SUMIF('[1]Map_Meso-Ox'!$C:$C,A918,'[1]Map_Meso-Ox'!$D:$D)</f>
        <v>#VALUE!</v>
      </c>
      <c r="K918" s="2" t="e">
        <f t="shared" si="28"/>
        <v>#VALUE!</v>
      </c>
      <c r="L918" s="1" t="e">
        <f>SUMIF('[1]Map_Meso-Ox'!$C:$C,A918,'[1]Map_Meso-Ox'!$E:$E)</f>
        <v>#VALUE!</v>
      </c>
      <c r="M918" s="2" t="e">
        <f t="shared" si="29"/>
        <v>#VALUE!</v>
      </c>
    </row>
    <row r="919" spans="1:13" x14ac:dyDescent="0.25">
      <c r="A919">
        <v>38</v>
      </c>
      <c r="B919">
        <v>3</v>
      </c>
      <c r="C919">
        <v>34.320999999999998</v>
      </c>
      <c r="D919">
        <v>1.9E-3</v>
      </c>
      <c r="E919" t="s">
        <v>21</v>
      </c>
      <c r="F919">
        <v>0</v>
      </c>
      <c r="G919">
        <f>COUNTIF(E:E,E919)</f>
        <v>110</v>
      </c>
      <c r="H919">
        <f>COUNTIFS(E:E,E919,A:A,A919,D:D,D919)</f>
        <v>1</v>
      </c>
      <c r="I919" t="e">
        <f>SUMIF([1]Mapeamento!$J:$J,A919,[1]Mapeamento!$L:$L)</f>
        <v>#VALUE!</v>
      </c>
      <c r="J919" s="1" t="e">
        <f>SUMIF('[1]Map_Meso-Ox'!$C:$C,A919,'[1]Map_Meso-Ox'!$D:$D)</f>
        <v>#VALUE!</v>
      </c>
      <c r="K919" s="2" t="e">
        <f t="shared" si="28"/>
        <v>#VALUE!</v>
      </c>
      <c r="L919" s="1" t="e">
        <f>SUMIF('[1]Map_Meso-Ox'!$C:$C,A919,'[1]Map_Meso-Ox'!$E:$E)</f>
        <v>#VALUE!</v>
      </c>
      <c r="M919" s="2" t="e">
        <f t="shared" si="29"/>
        <v>#VALUE!</v>
      </c>
    </row>
    <row r="920" spans="1:13" x14ac:dyDescent="0.25">
      <c r="A920">
        <v>39</v>
      </c>
      <c r="B920">
        <v>3</v>
      </c>
      <c r="C920">
        <v>42.697000000000003</v>
      </c>
      <c r="D920">
        <v>1E-4</v>
      </c>
      <c r="E920" t="s">
        <v>21</v>
      </c>
      <c r="F920">
        <v>1</v>
      </c>
      <c r="G920">
        <f>COUNTIF(E:E,E920)</f>
        <v>110</v>
      </c>
      <c r="H920">
        <f>COUNTIFS(E:E,E920,A:A,A920,D:D,D920)</f>
        <v>1</v>
      </c>
      <c r="I920" t="e">
        <f>SUMIF([1]Mapeamento!$J:$J,A920,[1]Mapeamento!$L:$L)</f>
        <v>#VALUE!</v>
      </c>
      <c r="J920" s="1" t="e">
        <f>SUMIF('[1]Map_Meso-Ox'!$C:$C,A920,'[1]Map_Meso-Ox'!$D:$D)</f>
        <v>#VALUE!</v>
      </c>
      <c r="K920" s="2" t="e">
        <f t="shared" si="28"/>
        <v>#VALUE!</v>
      </c>
      <c r="L920" s="1" t="e">
        <f>SUMIF('[1]Map_Meso-Ox'!$C:$C,A920,'[1]Map_Meso-Ox'!$E:$E)</f>
        <v>#VALUE!</v>
      </c>
      <c r="M920" s="2" t="e">
        <f t="shared" si="29"/>
        <v>#VALUE!</v>
      </c>
    </row>
    <row r="921" spans="1:13" x14ac:dyDescent="0.25">
      <c r="A921">
        <v>40</v>
      </c>
      <c r="B921">
        <v>3</v>
      </c>
      <c r="C921">
        <v>52.899000000000001</v>
      </c>
      <c r="D921">
        <v>0</v>
      </c>
      <c r="E921" t="s">
        <v>21</v>
      </c>
      <c r="F921">
        <v>1</v>
      </c>
      <c r="G921">
        <f>COUNTIF(E:E,E921)</f>
        <v>110</v>
      </c>
      <c r="H921">
        <f>COUNTIFS(E:E,E921,A:A,A921,D:D,D921)</f>
        <v>1</v>
      </c>
      <c r="I921" t="e">
        <f>SUMIF([1]Mapeamento!$J:$J,A921,[1]Mapeamento!$L:$L)</f>
        <v>#VALUE!</v>
      </c>
      <c r="J921" s="1" t="e">
        <f>SUMIF('[1]Map_Meso-Ox'!$C:$C,A921,'[1]Map_Meso-Ox'!$D:$D)</f>
        <v>#VALUE!</v>
      </c>
      <c r="K921" s="2" t="e">
        <f t="shared" si="28"/>
        <v>#VALUE!</v>
      </c>
      <c r="L921" s="1" t="e">
        <f>SUMIF('[1]Map_Meso-Ox'!$C:$C,A921,'[1]Map_Meso-Ox'!$E:$E)</f>
        <v>#VALUE!</v>
      </c>
      <c r="M921" s="2" t="e">
        <f t="shared" si="29"/>
        <v>#VALUE!</v>
      </c>
    </row>
    <row r="922" spans="1:13" x14ac:dyDescent="0.25">
      <c r="A922">
        <v>41</v>
      </c>
      <c r="B922">
        <v>3</v>
      </c>
      <c r="C922">
        <v>60.03</v>
      </c>
      <c r="D922">
        <v>0</v>
      </c>
      <c r="E922" t="s">
        <v>21</v>
      </c>
      <c r="F922">
        <v>1</v>
      </c>
      <c r="G922">
        <f>COUNTIF(E:E,E922)</f>
        <v>110</v>
      </c>
      <c r="H922">
        <f>COUNTIFS(E:E,E922,A:A,A922,D:D,D922)</f>
        <v>1</v>
      </c>
      <c r="I922" t="e">
        <f>SUMIF([1]Mapeamento!$J:$J,A922,[1]Mapeamento!$L:$L)</f>
        <v>#VALUE!</v>
      </c>
      <c r="J922" s="1" t="e">
        <f>SUMIF('[1]Map_Meso-Ox'!$C:$C,A922,'[1]Map_Meso-Ox'!$D:$D)</f>
        <v>#VALUE!</v>
      </c>
      <c r="K922" s="2" t="e">
        <f t="shared" si="28"/>
        <v>#VALUE!</v>
      </c>
      <c r="L922" s="1" t="e">
        <f>SUMIF('[1]Map_Meso-Ox'!$C:$C,A922,'[1]Map_Meso-Ox'!$E:$E)</f>
        <v>#VALUE!</v>
      </c>
      <c r="M922" s="2" t="e">
        <f t="shared" si="29"/>
        <v>#VALUE!</v>
      </c>
    </row>
    <row r="923" spans="1:13" x14ac:dyDescent="0.25">
      <c r="A923">
        <v>42</v>
      </c>
      <c r="B923">
        <v>3</v>
      </c>
      <c r="C923">
        <v>39.29</v>
      </c>
      <c r="D923">
        <v>2.9999999999999997E-4</v>
      </c>
      <c r="E923" t="s">
        <v>21</v>
      </c>
      <c r="F923">
        <v>0</v>
      </c>
      <c r="G923">
        <f>COUNTIF(E:E,E923)</f>
        <v>110</v>
      </c>
      <c r="H923">
        <f>COUNTIFS(E:E,E923,A:A,A923,D:D,D923)</f>
        <v>1</v>
      </c>
      <c r="I923" t="e">
        <f>SUMIF([1]Mapeamento!$J:$J,A923,[1]Mapeamento!$L:$L)</f>
        <v>#VALUE!</v>
      </c>
      <c r="J923" s="1" t="e">
        <f>SUMIF('[1]Map_Meso-Ox'!$C:$C,A923,'[1]Map_Meso-Ox'!$D:$D)</f>
        <v>#VALUE!</v>
      </c>
      <c r="K923" s="2" t="e">
        <f t="shared" si="28"/>
        <v>#VALUE!</v>
      </c>
      <c r="L923" s="1" t="e">
        <f>SUMIF('[1]Map_Meso-Ox'!$C:$C,A923,'[1]Map_Meso-Ox'!$E:$E)</f>
        <v>#VALUE!</v>
      </c>
      <c r="M923" s="2" t="e">
        <f t="shared" si="29"/>
        <v>#VALUE!</v>
      </c>
    </row>
    <row r="924" spans="1:13" x14ac:dyDescent="0.25">
      <c r="A924">
        <v>43</v>
      </c>
      <c r="B924">
        <v>3</v>
      </c>
      <c r="C924">
        <v>28.824000000000002</v>
      </c>
      <c r="D924">
        <v>1.0999999999999999E-2</v>
      </c>
      <c r="E924" t="s">
        <v>21</v>
      </c>
      <c r="F924">
        <v>0</v>
      </c>
      <c r="G924">
        <f>COUNTIF(E:E,E924)</f>
        <v>110</v>
      </c>
      <c r="H924">
        <f>COUNTIFS(E:E,E924,A:A,A924,D:D,D924)</f>
        <v>1</v>
      </c>
      <c r="I924" t="e">
        <f>SUMIF([1]Mapeamento!$J:$J,A924,[1]Mapeamento!$L:$L)</f>
        <v>#VALUE!</v>
      </c>
      <c r="J924" s="1" t="e">
        <f>SUMIF('[1]Map_Meso-Ox'!$C:$C,A924,'[1]Map_Meso-Ox'!$D:$D)</f>
        <v>#VALUE!</v>
      </c>
      <c r="K924" s="2" t="e">
        <f t="shared" si="28"/>
        <v>#VALUE!</v>
      </c>
      <c r="L924" s="1" t="e">
        <f>SUMIF('[1]Map_Meso-Ox'!$C:$C,A924,'[1]Map_Meso-Ox'!$E:$E)</f>
        <v>#VALUE!</v>
      </c>
      <c r="M924" s="2" t="e">
        <f t="shared" si="29"/>
        <v>#VALUE!</v>
      </c>
    </row>
    <row r="925" spans="1:13" x14ac:dyDescent="0.25">
      <c r="A925">
        <v>44</v>
      </c>
      <c r="B925">
        <v>3</v>
      </c>
      <c r="C925">
        <v>32.618000000000002</v>
      </c>
      <c r="D925">
        <v>3.3E-3</v>
      </c>
      <c r="E925" t="s">
        <v>21</v>
      </c>
      <c r="F925">
        <v>0</v>
      </c>
      <c r="G925">
        <f>COUNTIF(E:E,E925)</f>
        <v>110</v>
      </c>
      <c r="H925">
        <f>COUNTIFS(E:E,E925,A:A,A925,D:D,D925)</f>
        <v>1</v>
      </c>
      <c r="I925" t="e">
        <f>SUMIF([1]Mapeamento!$J:$J,A925,[1]Mapeamento!$L:$L)</f>
        <v>#VALUE!</v>
      </c>
      <c r="J925" s="1" t="e">
        <f>SUMIF('[1]Map_Meso-Ox'!$C:$C,A925,'[1]Map_Meso-Ox'!$D:$D)</f>
        <v>#VALUE!</v>
      </c>
      <c r="K925" s="2" t="e">
        <f t="shared" si="28"/>
        <v>#VALUE!</v>
      </c>
      <c r="L925" s="1" t="e">
        <f>SUMIF('[1]Map_Meso-Ox'!$C:$C,A925,'[1]Map_Meso-Ox'!$E:$E)</f>
        <v>#VALUE!</v>
      </c>
      <c r="M925" s="2" t="e">
        <f t="shared" si="29"/>
        <v>#VALUE!</v>
      </c>
    </row>
    <row r="926" spans="1:13" x14ac:dyDescent="0.25">
      <c r="A926">
        <v>45</v>
      </c>
      <c r="B926">
        <v>3</v>
      </c>
      <c r="C926">
        <v>48.298000000000002</v>
      </c>
      <c r="D926">
        <v>0</v>
      </c>
      <c r="E926" t="s">
        <v>21</v>
      </c>
      <c r="F926">
        <v>2</v>
      </c>
      <c r="G926">
        <f>COUNTIF(E:E,E926)</f>
        <v>110</v>
      </c>
      <c r="H926">
        <f>COUNTIFS(E:E,E926,A:A,A926,D:D,D926)</f>
        <v>1</v>
      </c>
      <c r="I926" t="e">
        <f>SUMIF([1]Mapeamento!$J:$J,A926,[1]Mapeamento!$L:$L)</f>
        <v>#VALUE!</v>
      </c>
      <c r="J926" s="1" t="e">
        <f>SUMIF('[1]Map_Meso-Ox'!$C:$C,A926,'[1]Map_Meso-Ox'!$D:$D)</f>
        <v>#VALUE!</v>
      </c>
      <c r="K926" s="2" t="e">
        <f t="shared" si="28"/>
        <v>#VALUE!</v>
      </c>
      <c r="L926" s="1" t="e">
        <f>SUMIF('[1]Map_Meso-Ox'!$C:$C,A926,'[1]Map_Meso-Ox'!$E:$E)</f>
        <v>#VALUE!</v>
      </c>
      <c r="M926" s="2" t="e">
        <f t="shared" si="29"/>
        <v>#VALUE!</v>
      </c>
    </row>
    <row r="927" spans="1:13" x14ac:dyDescent="0.25">
      <c r="A927">
        <v>46</v>
      </c>
      <c r="B927">
        <v>3</v>
      </c>
      <c r="C927">
        <v>56.015999999999998</v>
      </c>
      <c r="D927">
        <v>0</v>
      </c>
      <c r="E927" t="s">
        <v>21</v>
      </c>
      <c r="F927">
        <v>0</v>
      </c>
      <c r="G927">
        <f>COUNTIF(E:E,E927)</f>
        <v>110</v>
      </c>
      <c r="H927">
        <f>COUNTIFS(E:E,E927,A:A,A927,D:D,D927)</f>
        <v>1</v>
      </c>
      <c r="I927" t="e">
        <f>SUMIF([1]Mapeamento!$J:$J,A927,[1]Mapeamento!$L:$L)</f>
        <v>#VALUE!</v>
      </c>
      <c r="J927" s="1" t="e">
        <f>SUMIF('[1]Map_Meso-Ox'!$C:$C,A927,'[1]Map_Meso-Ox'!$D:$D)</f>
        <v>#VALUE!</v>
      </c>
      <c r="K927" s="2" t="e">
        <f t="shared" si="28"/>
        <v>#VALUE!</v>
      </c>
      <c r="L927" s="1" t="e">
        <f>SUMIF('[1]Map_Meso-Ox'!$C:$C,A927,'[1]Map_Meso-Ox'!$E:$E)</f>
        <v>#VALUE!</v>
      </c>
      <c r="M927" s="2" t="e">
        <f t="shared" si="29"/>
        <v>#VALUE!</v>
      </c>
    </row>
    <row r="928" spans="1:13" x14ac:dyDescent="0.25">
      <c r="A928">
        <v>47</v>
      </c>
      <c r="B928">
        <v>3</v>
      </c>
      <c r="C928">
        <v>39.546999999999997</v>
      </c>
      <c r="D928">
        <v>2.9999999999999997E-4</v>
      </c>
      <c r="E928" t="s">
        <v>21</v>
      </c>
      <c r="F928">
        <v>0</v>
      </c>
      <c r="G928">
        <f>COUNTIF(E:E,E928)</f>
        <v>110</v>
      </c>
      <c r="H928">
        <f>COUNTIFS(E:E,E928,A:A,A928,D:D,D928)</f>
        <v>1</v>
      </c>
      <c r="I928" t="e">
        <f>SUMIF([1]Mapeamento!$J:$J,A928,[1]Mapeamento!$L:$L)</f>
        <v>#VALUE!</v>
      </c>
      <c r="J928" s="1" t="e">
        <f>SUMIF('[1]Map_Meso-Ox'!$C:$C,A928,'[1]Map_Meso-Ox'!$D:$D)</f>
        <v>#VALUE!</v>
      </c>
      <c r="K928" s="2" t="e">
        <f t="shared" si="28"/>
        <v>#VALUE!</v>
      </c>
      <c r="L928" s="1" t="e">
        <f>SUMIF('[1]Map_Meso-Ox'!$C:$C,A928,'[1]Map_Meso-Ox'!$E:$E)</f>
        <v>#VALUE!</v>
      </c>
      <c r="M928" s="2" t="e">
        <f t="shared" si="29"/>
        <v>#VALUE!</v>
      </c>
    </row>
    <row r="929" spans="1:13" x14ac:dyDescent="0.25">
      <c r="A929">
        <v>48</v>
      </c>
      <c r="B929">
        <v>3</v>
      </c>
      <c r="C929">
        <v>42.642000000000003</v>
      </c>
      <c r="D929">
        <v>1E-4</v>
      </c>
      <c r="E929" t="s">
        <v>21</v>
      </c>
      <c r="F929">
        <v>0</v>
      </c>
      <c r="G929">
        <f>COUNTIF(E:E,E929)</f>
        <v>110</v>
      </c>
      <c r="H929">
        <f>COUNTIFS(E:E,E929,A:A,A929,D:D,D929)</f>
        <v>1</v>
      </c>
      <c r="I929" t="e">
        <f>SUMIF([1]Mapeamento!$J:$J,A929,[1]Mapeamento!$L:$L)</f>
        <v>#VALUE!</v>
      </c>
      <c r="J929" s="1" t="e">
        <f>SUMIF('[1]Map_Meso-Ox'!$C:$C,A929,'[1]Map_Meso-Ox'!$D:$D)</f>
        <v>#VALUE!</v>
      </c>
      <c r="K929" s="2" t="e">
        <f t="shared" si="28"/>
        <v>#VALUE!</v>
      </c>
      <c r="L929" s="1" t="e">
        <f>SUMIF('[1]Map_Meso-Ox'!$C:$C,A929,'[1]Map_Meso-Ox'!$E:$E)</f>
        <v>#VALUE!</v>
      </c>
      <c r="M929" s="2" t="e">
        <f t="shared" si="29"/>
        <v>#VALUE!</v>
      </c>
    </row>
    <row r="930" spans="1:13" x14ac:dyDescent="0.25">
      <c r="A930">
        <v>49</v>
      </c>
      <c r="B930">
        <v>3</v>
      </c>
      <c r="C930">
        <v>37.33</v>
      </c>
      <c r="D930">
        <v>6.9999999999999999E-4</v>
      </c>
      <c r="E930" t="s">
        <v>21</v>
      </c>
      <c r="F930">
        <v>0</v>
      </c>
      <c r="G930">
        <f>COUNTIF(E:E,E930)</f>
        <v>110</v>
      </c>
      <c r="H930">
        <f>COUNTIFS(E:E,E930,A:A,A930,D:D,D930)</f>
        <v>1</v>
      </c>
      <c r="I930" t="e">
        <f>SUMIF([1]Mapeamento!$J:$J,A930,[1]Mapeamento!$L:$L)</f>
        <v>#VALUE!</v>
      </c>
      <c r="J930" s="1" t="e">
        <f>SUMIF('[1]Map_Meso-Ox'!$C:$C,A930,'[1]Map_Meso-Ox'!$D:$D)</f>
        <v>#VALUE!</v>
      </c>
      <c r="K930" s="2" t="e">
        <f t="shared" si="28"/>
        <v>#VALUE!</v>
      </c>
      <c r="L930" s="1" t="e">
        <f>SUMIF('[1]Map_Meso-Ox'!$C:$C,A930,'[1]Map_Meso-Ox'!$E:$E)</f>
        <v>#VALUE!</v>
      </c>
      <c r="M930" s="2" t="e">
        <f t="shared" si="29"/>
        <v>#VALUE!</v>
      </c>
    </row>
    <row r="931" spans="1:13" x14ac:dyDescent="0.25">
      <c r="A931">
        <v>50</v>
      </c>
      <c r="B931">
        <v>3</v>
      </c>
      <c r="C931">
        <v>33.014000000000003</v>
      </c>
      <c r="D931">
        <v>2.8999999999999998E-3</v>
      </c>
      <c r="E931" t="s">
        <v>21</v>
      </c>
      <c r="F931">
        <v>0</v>
      </c>
      <c r="G931">
        <f>COUNTIF(E:E,E931)</f>
        <v>110</v>
      </c>
      <c r="H931">
        <f>COUNTIFS(E:E,E931,A:A,A931,D:D,D931)</f>
        <v>1</v>
      </c>
      <c r="I931" t="e">
        <f>SUMIF([1]Mapeamento!$J:$J,A931,[1]Mapeamento!$L:$L)</f>
        <v>#VALUE!</v>
      </c>
      <c r="J931" s="1" t="e">
        <f>SUMIF('[1]Map_Meso-Ox'!$C:$C,A931,'[1]Map_Meso-Ox'!$D:$D)</f>
        <v>#VALUE!</v>
      </c>
      <c r="K931" s="2" t="e">
        <f t="shared" si="28"/>
        <v>#VALUE!</v>
      </c>
      <c r="L931" s="1" t="e">
        <f>SUMIF('[1]Map_Meso-Ox'!$C:$C,A931,'[1]Map_Meso-Ox'!$E:$E)</f>
        <v>#VALUE!</v>
      </c>
      <c r="M931" s="2" t="e">
        <f t="shared" si="29"/>
        <v>#VALUE!</v>
      </c>
    </row>
    <row r="932" spans="1:13" x14ac:dyDescent="0.25">
      <c r="A932">
        <v>51</v>
      </c>
      <c r="B932">
        <v>3</v>
      </c>
      <c r="C932">
        <v>31.861999999999998</v>
      </c>
      <c r="D932">
        <v>4.1999999999999997E-3</v>
      </c>
      <c r="E932" t="s">
        <v>21</v>
      </c>
      <c r="F932">
        <v>0</v>
      </c>
      <c r="G932">
        <f>COUNTIF(E:E,E932)</f>
        <v>110</v>
      </c>
      <c r="H932">
        <f>COUNTIFS(E:E,E932,A:A,A932,D:D,D932)</f>
        <v>1</v>
      </c>
      <c r="I932" t="e">
        <f>SUMIF([1]Mapeamento!$J:$J,A932,[1]Mapeamento!$L:$L)</f>
        <v>#VALUE!</v>
      </c>
      <c r="J932" s="1" t="e">
        <f>SUMIF('[1]Map_Meso-Ox'!$C:$C,A932,'[1]Map_Meso-Ox'!$D:$D)</f>
        <v>#VALUE!</v>
      </c>
      <c r="K932" s="2" t="e">
        <f t="shared" si="28"/>
        <v>#VALUE!</v>
      </c>
      <c r="L932" s="1" t="e">
        <f>SUMIF('[1]Map_Meso-Ox'!$C:$C,A932,'[1]Map_Meso-Ox'!$E:$E)</f>
        <v>#VALUE!</v>
      </c>
      <c r="M932" s="2" t="e">
        <f t="shared" si="29"/>
        <v>#VALUE!</v>
      </c>
    </row>
    <row r="933" spans="1:13" x14ac:dyDescent="0.25">
      <c r="A933">
        <v>52</v>
      </c>
      <c r="B933">
        <v>3</v>
      </c>
      <c r="C933">
        <v>43.103999999999999</v>
      </c>
      <c r="D933">
        <v>1E-4</v>
      </c>
      <c r="E933" t="s">
        <v>21</v>
      </c>
      <c r="F933">
        <v>1</v>
      </c>
      <c r="G933">
        <f>COUNTIF(E:E,E933)</f>
        <v>110</v>
      </c>
      <c r="H933">
        <f>COUNTIFS(E:E,E933,A:A,A933,D:D,D933)</f>
        <v>1</v>
      </c>
      <c r="I933" t="e">
        <f>SUMIF([1]Mapeamento!$J:$J,A933,[1]Mapeamento!$L:$L)</f>
        <v>#VALUE!</v>
      </c>
      <c r="J933" s="1" t="e">
        <f>SUMIF('[1]Map_Meso-Ox'!$C:$C,A933,'[1]Map_Meso-Ox'!$D:$D)</f>
        <v>#VALUE!</v>
      </c>
      <c r="K933" s="2" t="e">
        <f t="shared" si="28"/>
        <v>#VALUE!</v>
      </c>
      <c r="L933" s="1" t="e">
        <f>SUMIF('[1]Map_Meso-Ox'!$C:$C,A933,'[1]Map_Meso-Ox'!$E:$E)</f>
        <v>#VALUE!</v>
      </c>
      <c r="M933" s="2" t="e">
        <f t="shared" si="29"/>
        <v>#VALUE!</v>
      </c>
    </row>
    <row r="934" spans="1:13" x14ac:dyDescent="0.25">
      <c r="A934">
        <v>53</v>
      </c>
      <c r="B934">
        <v>3</v>
      </c>
      <c r="C934">
        <v>61.481999999999999</v>
      </c>
      <c r="D934">
        <v>0</v>
      </c>
      <c r="E934" t="s">
        <v>21</v>
      </c>
      <c r="F934">
        <v>3</v>
      </c>
      <c r="G934">
        <f>COUNTIF(E:E,E934)</f>
        <v>110</v>
      </c>
      <c r="H934">
        <f>COUNTIFS(E:E,E934,A:A,A934,D:D,D934)</f>
        <v>1</v>
      </c>
      <c r="I934" t="e">
        <f>SUMIF([1]Mapeamento!$J:$J,A934,[1]Mapeamento!$L:$L)</f>
        <v>#VALUE!</v>
      </c>
      <c r="J934" s="1" t="e">
        <f>SUMIF('[1]Map_Meso-Ox'!$C:$C,A934,'[1]Map_Meso-Ox'!$D:$D)</f>
        <v>#VALUE!</v>
      </c>
      <c r="K934" s="2" t="e">
        <f t="shared" si="28"/>
        <v>#VALUE!</v>
      </c>
      <c r="L934" s="1" t="e">
        <f>SUMIF('[1]Map_Meso-Ox'!$C:$C,A934,'[1]Map_Meso-Ox'!$E:$E)</f>
        <v>#VALUE!</v>
      </c>
      <c r="M934" s="2" t="e">
        <f t="shared" si="29"/>
        <v>#VALUE!</v>
      </c>
    </row>
    <row r="935" spans="1:13" x14ac:dyDescent="0.25">
      <c r="A935">
        <v>54</v>
      </c>
      <c r="B935">
        <v>3</v>
      </c>
      <c r="C935">
        <v>52.872999999999998</v>
      </c>
      <c r="D935">
        <v>0</v>
      </c>
      <c r="E935" t="s">
        <v>21</v>
      </c>
      <c r="F935">
        <v>1</v>
      </c>
      <c r="G935">
        <f>COUNTIF(E:E,E935)</f>
        <v>110</v>
      </c>
      <c r="H935">
        <f>COUNTIFS(E:E,E935,A:A,A935,D:D,D935)</f>
        <v>1</v>
      </c>
      <c r="I935" t="e">
        <f>SUMIF([1]Mapeamento!$J:$J,A935,[1]Mapeamento!$L:$L)</f>
        <v>#VALUE!</v>
      </c>
      <c r="J935" s="1" t="e">
        <f>SUMIF('[1]Map_Meso-Ox'!$C:$C,A935,'[1]Map_Meso-Ox'!$D:$D)</f>
        <v>#VALUE!</v>
      </c>
      <c r="K935" s="2" t="e">
        <f t="shared" si="28"/>
        <v>#VALUE!</v>
      </c>
      <c r="L935" s="1" t="e">
        <f>SUMIF('[1]Map_Meso-Ox'!$C:$C,A935,'[1]Map_Meso-Ox'!$E:$E)</f>
        <v>#VALUE!</v>
      </c>
      <c r="M935" s="2" t="e">
        <f t="shared" si="29"/>
        <v>#VALUE!</v>
      </c>
    </row>
    <row r="936" spans="1:13" x14ac:dyDescent="0.25">
      <c r="A936">
        <v>55</v>
      </c>
      <c r="B936">
        <v>3</v>
      </c>
      <c r="C936">
        <v>46.51</v>
      </c>
      <c r="D936">
        <v>0</v>
      </c>
      <c r="E936" t="s">
        <v>21</v>
      </c>
      <c r="F936">
        <v>1</v>
      </c>
      <c r="G936">
        <f>COUNTIF(E:E,E936)</f>
        <v>110</v>
      </c>
      <c r="H936">
        <f>COUNTIFS(E:E,E936,A:A,A936,D:D,D936)</f>
        <v>1</v>
      </c>
      <c r="I936" t="e">
        <f>SUMIF([1]Mapeamento!$J:$J,A936,[1]Mapeamento!$L:$L)</f>
        <v>#VALUE!</v>
      </c>
      <c r="J936" s="1" t="e">
        <f>SUMIF('[1]Map_Meso-Ox'!$C:$C,A936,'[1]Map_Meso-Ox'!$D:$D)</f>
        <v>#VALUE!</v>
      </c>
      <c r="K936" s="2" t="e">
        <f t="shared" ref="K936:K991" si="30">J936/203401269</f>
        <v>#VALUE!</v>
      </c>
      <c r="L936" s="1" t="e">
        <f>SUMIF('[1]Map_Meso-Ox'!$C:$C,A936,'[1]Map_Meso-Ox'!$E:$E)</f>
        <v>#VALUE!</v>
      </c>
      <c r="M936" s="2" t="e">
        <f t="shared" ref="M936:M991" si="31">L936/3868725997.715</f>
        <v>#VALUE!</v>
      </c>
    </row>
    <row r="937" spans="1:13" x14ac:dyDescent="0.25">
      <c r="A937">
        <v>56</v>
      </c>
      <c r="B937">
        <v>3</v>
      </c>
      <c r="C937">
        <v>74.224999999999994</v>
      </c>
      <c r="D937">
        <v>0</v>
      </c>
      <c r="E937" t="s">
        <v>21</v>
      </c>
      <c r="F937">
        <v>1</v>
      </c>
      <c r="G937">
        <f>COUNTIF(E:E,E937)</f>
        <v>110</v>
      </c>
      <c r="H937">
        <f>COUNTIFS(E:E,E937,A:A,A937,D:D,D937)</f>
        <v>1</v>
      </c>
      <c r="I937" t="e">
        <f>SUMIF([1]Mapeamento!$J:$J,A937,[1]Mapeamento!$L:$L)</f>
        <v>#VALUE!</v>
      </c>
      <c r="J937" s="1" t="e">
        <f>SUMIF('[1]Map_Meso-Ox'!$C:$C,A937,'[1]Map_Meso-Ox'!$D:$D)</f>
        <v>#VALUE!</v>
      </c>
      <c r="K937" s="2" t="e">
        <f t="shared" si="30"/>
        <v>#VALUE!</v>
      </c>
      <c r="L937" s="1" t="e">
        <f>SUMIF('[1]Map_Meso-Ox'!$C:$C,A937,'[1]Map_Meso-Ox'!$E:$E)</f>
        <v>#VALUE!</v>
      </c>
      <c r="M937" s="2" t="e">
        <f t="shared" si="31"/>
        <v>#VALUE!</v>
      </c>
    </row>
    <row r="938" spans="1:13" x14ac:dyDescent="0.25">
      <c r="A938">
        <v>57</v>
      </c>
      <c r="B938">
        <v>3</v>
      </c>
      <c r="C938">
        <v>45.051000000000002</v>
      </c>
      <c r="D938">
        <v>0</v>
      </c>
      <c r="E938" t="s">
        <v>21</v>
      </c>
      <c r="F938">
        <v>0</v>
      </c>
      <c r="G938">
        <f>COUNTIF(E:E,E938)</f>
        <v>110</v>
      </c>
      <c r="H938">
        <f>COUNTIFS(E:E,E938,A:A,A938,D:D,D938)</f>
        <v>1</v>
      </c>
      <c r="I938" t="e">
        <f>SUMIF([1]Mapeamento!$J:$J,A938,[1]Mapeamento!$L:$L)</f>
        <v>#VALUE!</v>
      </c>
      <c r="J938" s="1" t="e">
        <f>SUMIF('[1]Map_Meso-Ox'!$C:$C,A938,'[1]Map_Meso-Ox'!$D:$D)</f>
        <v>#VALUE!</v>
      </c>
      <c r="K938" s="2" t="e">
        <f t="shared" si="30"/>
        <v>#VALUE!</v>
      </c>
      <c r="L938" s="1" t="e">
        <f>SUMIF('[1]Map_Meso-Ox'!$C:$C,A938,'[1]Map_Meso-Ox'!$E:$E)</f>
        <v>#VALUE!</v>
      </c>
      <c r="M938" s="2" t="e">
        <f t="shared" si="31"/>
        <v>#VALUE!</v>
      </c>
    </row>
    <row r="939" spans="1:13" x14ac:dyDescent="0.25">
      <c r="A939">
        <v>58</v>
      </c>
      <c r="B939">
        <v>3</v>
      </c>
      <c r="C939">
        <v>56.677999999999997</v>
      </c>
      <c r="D939">
        <v>0</v>
      </c>
      <c r="E939" t="s">
        <v>21</v>
      </c>
      <c r="F939">
        <v>1</v>
      </c>
      <c r="G939">
        <f>COUNTIF(E:E,E939)</f>
        <v>110</v>
      </c>
      <c r="H939">
        <f>COUNTIFS(E:E,E939,A:A,A939,D:D,D939)</f>
        <v>1</v>
      </c>
      <c r="I939" t="e">
        <f>SUMIF([1]Mapeamento!$J:$J,A939,[1]Mapeamento!$L:$L)</f>
        <v>#VALUE!</v>
      </c>
      <c r="J939" s="1" t="e">
        <f>SUMIF('[1]Map_Meso-Ox'!$C:$C,A939,'[1]Map_Meso-Ox'!$D:$D)</f>
        <v>#VALUE!</v>
      </c>
      <c r="K939" s="2" t="e">
        <f t="shared" si="30"/>
        <v>#VALUE!</v>
      </c>
      <c r="L939" s="1" t="e">
        <f>SUMIF('[1]Map_Meso-Ox'!$C:$C,A939,'[1]Map_Meso-Ox'!$E:$E)</f>
        <v>#VALUE!</v>
      </c>
      <c r="M939" s="2" t="e">
        <f t="shared" si="31"/>
        <v>#VALUE!</v>
      </c>
    </row>
    <row r="940" spans="1:13" x14ac:dyDescent="0.25">
      <c r="A940">
        <v>59</v>
      </c>
      <c r="B940">
        <v>3</v>
      </c>
      <c r="C940">
        <v>60.289000000000001</v>
      </c>
      <c r="D940">
        <v>0</v>
      </c>
      <c r="E940" t="s">
        <v>21</v>
      </c>
      <c r="F940">
        <v>1</v>
      </c>
      <c r="G940">
        <f>COUNTIF(E:E,E940)</f>
        <v>110</v>
      </c>
      <c r="H940">
        <f>COUNTIFS(E:E,E940,A:A,A940,D:D,D940)</f>
        <v>1</v>
      </c>
      <c r="I940" t="e">
        <f>SUMIF([1]Mapeamento!$J:$J,A940,[1]Mapeamento!$L:$L)</f>
        <v>#VALUE!</v>
      </c>
      <c r="J940" s="1" t="e">
        <f>SUMIF('[1]Map_Meso-Ox'!$C:$C,A940,'[1]Map_Meso-Ox'!$D:$D)</f>
        <v>#VALUE!</v>
      </c>
      <c r="K940" s="2" t="e">
        <f t="shared" si="30"/>
        <v>#VALUE!</v>
      </c>
      <c r="L940" s="1" t="e">
        <f>SUMIF('[1]Map_Meso-Ox'!$C:$C,A940,'[1]Map_Meso-Ox'!$E:$E)</f>
        <v>#VALUE!</v>
      </c>
      <c r="M940" s="2" t="e">
        <f t="shared" si="31"/>
        <v>#VALUE!</v>
      </c>
    </row>
    <row r="941" spans="1:13" x14ac:dyDescent="0.25">
      <c r="A941">
        <v>60</v>
      </c>
      <c r="B941">
        <v>3</v>
      </c>
      <c r="C941">
        <v>53.262999999999998</v>
      </c>
      <c r="D941">
        <v>0</v>
      </c>
      <c r="E941" t="s">
        <v>21</v>
      </c>
      <c r="F941">
        <v>1</v>
      </c>
      <c r="G941">
        <f>COUNTIF(E:E,E941)</f>
        <v>110</v>
      </c>
      <c r="H941">
        <f>COUNTIFS(E:E,E941,A:A,A941,D:D,D941)</f>
        <v>1</v>
      </c>
      <c r="I941" t="e">
        <f>SUMIF([1]Mapeamento!$J:$J,A941,[1]Mapeamento!$L:$L)</f>
        <v>#VALUE!</v>
      </c>
      <c r="J941" s="1" t="e">
        <f>SUMIF('[1]Map_Meso-Ox'!$C:$C,A941,'[1]Map_Meso-Ox'!$D:$D)</f>
        <v>#VALUE!</v>
      </c>
      <c r="K941" s="2" t="e">
        <f t="shared" si="30"/>
        <v>#VALUE!</v>
      </c>
      <c r="L941" s="1" t="e">
        <f>SUMIF('[1]Map_Meso-Ox'!$C:$C,A941,'[1]Map_Meso-Ox'!$E:$E)</f>
        <v>#VALUE!</v>
      </c>
      <c r="M941" s="2" t="e">
        <f t="shared" si="31"/>
        <v>#VALUE!</v>
      </c>
    </row>
    <row r="942" spans="1:13" x14ac:dyDescent="0.25">
      <c r="A942">
        <v>61</v>
      </c>
      <c r="B942">
        <v>3</v>
      </c>
      <c r="C942">
        <v>40.213000000000001</v>
      </c>
      <c r="D942">
        <v>2.0000000000000001E-4</v>
      </c>
      <c r="E942" t="s">
        <v>21</v>
      </c>
      <c r="F942">
        <v>0</v>
      </c>
      <c r="G942">
        <f>COUNTIF(E:E,E942)</f>
        <v>110</v>
      </c>
      <c r="H942">
        <f>COUNTIFS(E:E,E942,A:A,A942,D:D,D942)</f>
        <v>1</v>
      </c>
      <c r="I942" t="e">
        <f>SUMIF([1]Mapeamento!$J:$J,A942,[1]Mapeamento!$L:$L)</f>
        <v>#VALUE!</v>
      </c>
      <c r="J942" s="1" t="e">
        <f>SUMIF('[1]Map_Meso-Ox'!$C:$C,A942,'[1]Map_Meso-Ox'!$D:$D)</f>
        <v>#VALUE!</v>
      </c>
      <c r="K942" s="2" t="e">
        <f t="shared" si="30"/>
        <v>#VALUE!</v>
      </c>
      <c r="L942" s="1" t="e">
        <f>SUMIF('[1]Map_Meso-Ox'!$C:$C,A942,'[1]Map_Meso-Ox'!$E:$E)</f>
        <v>#VALUE!</v>
      </c>
      <c r="M942" s="2" t="e">
        <f t="shared" si="31"/>
        <v>#VALUE!</v>
      </c>
    </row>
    <row r="943" spans="1:13" x14ac:dyDescent="0.25">
      <c r="A943">
        <v>62</v>
      </c>
      <c r="B943">
        <v>3</v>
      </c>
      <c r="C943">
        <v>69.727999999999994</v>
      </c>
      <c r="D943">
        <v>0</v>
      </c>
      <c r="E943" t="s">
        <v>21</v>
      </c>
      <c r="F943">
        <v>1</v>
      </c>
      <c r="G943">
        <f>COUNTIF(E:E,E943)</f>
        <v>110</v>
      </c>
      <c r="H943">
        <f>COUNTIFS(E:E,E943,A:A,A943,D:D,D943)</f>
        <v>1</v>
      </c>
      <c r="I943" t="e">
        <f>SUMIF([1]Mapeamento!$J:$J,A943,[1]Mapeamento!$L:$L)</f>
        <v>#VALUE!</v>
      </c>
      <c r="J943" s="1" t="e">
        <f>SUMIF('[1]Map_Meso-Ox'!$C:$C,A943,'[1]Map_Meso-Ox'!$D:$D)</f>
        <v>#VALUE!</v>
      </c>
      <c r="K943" s="2" t="e">
        <f t="shared" si="30"/>
        <v>#VALUE!</v>
      </c>
      <c r="L943" s="1" t="e">
        <f>SUMIF('[1]Map_Meso-Ox'!$C:$C,A943,'[1]Map_Meso-Ox'!$E:$E)</f>
        <v>#VALUE!</v>
      </c>
      <c r="M943" s="2" t="e">
        <f t="shared" si="31"/>
        <v>#VALUE!</v>
      </c>
    </row>
    <row r="944" spans="1:13" x14ac:dyDescent="0.25">
      <c r="A944">
        <v>63</v>
      </c>
      <c r="B944">
        <v>3</v>
      </c>
      <c r="C944">
        <v>38.024000000000001</v>
      </c>
      <c r="D944">
        <v>5.0000000000000001E-4</v>
      </c>
      <c r="E944" t="s">
        <v>21</v>
      </c>
      <c r="F944">
        <v>1</v>
      </c>
      <c r="G944">
        <f>COUNTIF(E:E,E944)</f>
        <v>110</v>
      </c>
      <c r="H944">
        <f>COUNTIFS(E:E,E944,A:A,A944,D:D,D944)</f>
        <v>1</v>
      </c>
      <c r="I944" t="e">
        <f>SUMIF([1]Mapeamento!$J:$J,A944,[1]Mapeamento!$L:$L)</f>
        <v>#VALUE!</v>
      </c>
      <c r="J944" s="1" t="e">
        <f>SUMIF('[1]Map_Meso-Ox'!$C:$C,A944,'[1]Map_Meso-Ox'!$D:$D)</f>
        <v>#VALUE!</v>
      </c>
      <c r="K944" s="2" t="e">
        <f t="shared" si="30"/>
        <v>#VALUE!</v>
      </c>
      <c r="L944" s="1" t="e">
        <f>SUMIF('[1]Map_Meso-Ox'!$C:$C,A944,'[1]Map_Meso-Ox'!$E:$E)</f>
        <v>#VALUE!</v>
      </c>
      <c r="M944" s="2" t="e">
        <f t="shared" si="31"/>
        <v>#VALUE!</v>
      </c>
    </row>
    <row r="945" spans="1:13" x14ac:dyDescent="0.25">
      <c r="A945">
        <v>64</v>
      </c>
      <c r="B945">
        <v>3</v>
      </c>
      <c r="C945">
        <v>31.312999999999999</v>
      </c>
      <c r="D945">
        <v>5.0000000000000001E-3</v>
      </c>
      <c r="E945" t="s">
        <v>21</v>
      </c>
      <c r="F945">
        <v>0</v>
      </c>
      <c r="G945">
        <f>COUNTIF(E:E,E945)</f>
        <v>110</v>
      </c>
      <c r="H945">
        <f>COUNTIFS(E:E,E945,A:A,A945,D:D,D945)</f>
        <v>1</v>
      </c>
      <c r="I945" t="e">
        <f>SUMIF([1]Mapeamento!$J:$J,A945,[1]Mapeamento!$L:$L)</f>
        <v>#VALUE!</v>
      </c>
      <c r="J945" s="1" t="e">
        <f>SUMIF('[1]Map_Meso-Ox'!$C:$C,A945,'[1]Map_Meso-Ox'!$D:$D)</f>
        <v>#VALUE!</v>
      </c>
      <c r="K945" s="2" t="e">
        <f t="shared" si="30"/>
        <v>#VALUE!</v>
      </c>
      <c r="L945" s="1" t="e">
        <f>SUMIF('[1]Map_Meso-Ox'!$C:$C,A945,'[1]Map_Meso-Ox'!$E:$E)</f>
        <v>#VALUE!</v>
      </c>
      <c r="M945" s="2" t="e">
        <f t="shared" si="31"/>
        <v>#VALUE!</v>
      </c>
    </row>
    <row r="946" spans="1:13" x14ac:dyDescent="0.25">
      <c r="A946">
        <v>65</v>
      </c>
      <c r="B946">
        <v>3</v>
      </c>
      <c r="C946">
        <v>95.320999999999998</v>
      </c>
      <c r="D946">
        <v>0</v>
      </c>
      <c r="E946" t="s">
        <v>21</v>
      </c>
      <c r="F946">
        <v>2</v>
      </c>
      <c r="G946">
        <f>COUNTIF(E:E,E946)</f>
        <v>110</v>
      </c>
      <c r="H946">
        <f>COUNTIFS(E:E,E946,A:A,A946,D:D,D946)</f>
        <v>1</v>
      </c>
      <c r="I946" t="e">
        <f>SUMIF([1]Mapeamento!$J:$J,A946,[1]Mapeamento!$L:$L)</f>
        <v>#VALUE!</v>
      </c>
      <c r="J946" s="1" t="e">
        <f>SUMIF('[1]Map_Meso-Ox'!$C:$C,A946,'[1]Map_Meso-Ox'!$D:$D)</f>
        <v>#VALUE!</v>
      </c>
      <c r="K946" s="2" t="e">
        <f t="shared" si="30"/>
        <v>#VALUE!</v>
      </c>
      <c r="L946" s="1" t="e">
        <f>SUMIF('[1]Map_Meso-Ox'!$C:$C,A946,'[1]Map_Meso-Ox'!$E:$E)</f>
        <v>#VALUE!</v>
      </c>
      <c r="M946" s="2" t="e">
        <f t="shared" si="31"/>
        <v>#VALUE!</v>
      </c>
    </row>
    <row r="947" spans="1:13" x14ac:dyDescent="0.25">
      <c r="A947">
        <v>66</v>
      </c>
      <c r="B947">
        <v>3</v>
      </c>
      <c r="C947">
        <v>50.523000000000003</v>
      </c>
      <c r="D947">
        <v>0</v>
      </c>
      <c r="E947" t="s">
        <v>21</v>
      </c>
      <c r="F947">
        <v>1</v>
      </c>
      <c r="G947">
        <f>COUNTIF(E:E,E947)</f>
        <v>110</v>
      </c>
      <c r="H947">
        <f>COUNTIFS(E:E,E947,A:A,A947,D:D,D947)</f>
        <v>1</v>
      </c>
      <c r="I947" t="e">
        <f>SUMIF([1]Mapeamento!$J:$J,A947,[1]Mapeamento!$L:$L)</f>
        <v>#VALUE!</v>
      </c>
      <c r="J947" s="1" t="e">
        <f>SUMIF('[1]Map_Meso-Ox'!$C:$C,A947,'[1]Map_Meso-Ox'!$D:$D)</f>
        <v>#VALUE!</v>
      </c>
      <c r="K947" s="2" t="e">
        <f t="shared" si="30"/>
        <v>#VALUE!</v>
      </c>
      <c r="L947" s="1" t="e">
        <f>SUMIF('[1]Map_Meso-Ox'!$C:$C,A947,'[1]Map_Meso-Ox'!$E:$E)</f>
        <v>#VALUE!</v>
      </c>
      <c r="M947" s="2" t="e">
        <f t="shared" si="31"/>
        <v>#VALUE!</v>
      </c>
    </row>
    <row r="948" spans="1:13" x14ac:dyDescent="0.25">
      <c r="A948">
        <v>67</v>
      </c>
      <c r="B948">
        <v>3</v>
      </c>
      <c r="C948">
        <v>76.834000000000003</v>
      </c>
      <c r="D948">
        <v>0</v>
      </c>
      <c r="E948" t="s">
        <v>21</v>
      </c>
      <c r="F948">
        <v>1</v>
      </c>
      <c r="G948">
        <f>COUNTIF(E:E,E948)</f>
        <v>110</v>
      </c>
      <c r="H948">
        <f>COUNTIFS(E:E,E948,A:A,A948,D:D,D948)</f>
        <v>1</v>
      </c>
      <c r="I948" t="e">
        <f>SUMIF([1]Mapeamento!$J:$J,A948,[1]Mapeamento!$L:$L)</f>
        <v>#VALUE!</v>
      </c>
      <c r="J948" s="1" t="e">
        <f>SUMIF('[1]Map_Meso-Ox'!$C:$C,A948,'[1]Map_Meso-Ox'!$D:$D)</f>
        <v>#VALUE!</v>
      </c>
      <c r="K948" s="2" t="e">
        <f t="shared" si="30"/>
        <v>#VALUE!</v>
      </c>
      <c r="L948" s="1" t="e">
        <f>SUMIF('[1]Map_Meso-Ox'!$C:$C,A948,'[1]Map_Meso-Ox'!$E:$E)</f>
        <v>#VALUE!</v>
      </c>
      <c r="M948" s="2" t="e">
        <f t="shared" si="31"/>
        <v>#VALUE!</v>
      </c>
    </row>
    <row r="949" spans="1:13" x14ac:dyDescent="0.25">
      <c r="A949">
        <v>68</v>
      </c>
      <c r="B949">
        <v>3</v>
      </c>
      <c r="C949">
        <v>72.540000000000006</v>
      </c>
      <c r="D949">
        <v>0</v>
      </c>
      <c r="E949" t="s">
        <v>21</v>
      </c>
      <c r="F949">
        <v>3</v>
      </c>
      <c r="G949">
        <f>COUNTIF(E:E,E949)</f>
        <v>110</v>
      </c>
      <c r="H949">
        <f>COUNTIFS(E:E,E949,A:A,A949,D:D,D949)</f>
        <v>1</v>
      </c>
      <c r="I949" t="e">
        <f>SUMIF([1]Mapeamento!$J:$J,A949,[1]Mapeamento!$L:$L)</f>
        <v>#VALUE!</v>
      </c>
      <c r="J949" s="1" t="e">
        <f>SUMIF('[1]Map_Meso-Ox'!$C:$C,A949,'[1]Map_Meso-Ox'!$D:$D)</f>
        <v>#VALUE!</v>
      </c>
      <c r="K949" s="2" t="e">
        <f t="shared" si="30"/>
        <v>#VALUE!</v>
      </c>
      <c r="L949" s="1" t="e">
        <f>SUMIF('[1]Map_Meso-Ox'!$C:$C,A949,'[1]Map_Meso-Ox'!$E:$E)</f>
        <v>#VALUE!</v>
      </c>
      <c r="M949" s="2" t="e">
        <f t="shared" si="31"/>
        <v>#VALUE!</v>
      </c>
    </row>
    <row r="950" spans="1:13" x14ac:dyDescent="0.25">
      <c r="A950">
        <v>69</v>
      </c>
      <c r="B950">
        <v>3</v>
      </c>
      <c r="C950">
        <v>39.372999999999998</v>
      </c>
      <c r="D950">
        <v>2.9999999999999997E-4</v>
      </c>
      <c r="E950" t="s">
        <v>21</v>
      </c>
      <c r="F950">
        <v>0</v>
      </c>
      <c r="G950">
        <f>COUNTIF(E:E,E950)</f>
        <v>110</v>
      </c>
      <c r="H950">
        <f>COUNTIFS(E:E,E950,A:A,A950,D:D,D950)</f>
        <v>1</v>
      </c>
      <c r="I950" t="e">
        <f>SUMIF([1]Mapeamento!$J:$J,A950,[1]Mapeamento!$L:$L)</f>
        <v>#VALUE!</v>
      </c>
      <c r="J950" s="1" t="e">
        <f>SUMIF('[1]Map_Meso-Ox'!$C:$C,A950,'[1]Map_Meso-Ox'!$D:$D)</f>
        <v>#VALUE!</v>
      </c>
      <c r="K950" s="2" t="e">
        <f t="shared" si="30"/>
        <v>#VALUE!</v>
      </c>
      <c r="L950" s="1" t="e">
        <f>SUMIF('[1]Map_Meso-Ox'!$C:$C,A950,'[1]Map_Meso-Ox'!$E:$E)</f>
        <v>#VALUE!</v>
      </c>
      <c r="M950" s="2" t="e">
        <f t="shared" si="31"/>
        <v>#VALUE!</v>
      </c>
    </row>
    <row r="951" spans="1:13" x14ac:dyDescent="0.25">
      <c r="A951">
        <v>70</v>
      </c>
      <c r="B951">
        <v>3</v>
      </c>
      <c r="C951">
        <v>48.552999999999997</v>
      </c>
      <c r="D951">
        <v>0</v>
      </c>
      <c r="E951" t="s">
        <v>21</v>
      </c>
      <c r="F951">
        <v>1</v>
      </c>
      <c r="G951">
        <f>COUNTIF(E:E,E951)</f>
        <v>110</v>
      </c>
      <c r="H951">
        <f>COUNTIFS(E:E,E951,A:A,A951,D:D,D951)</f>
        <v>1</v>
      </c>
      <c r="I951" t="e">
        <f>SUMIF([1]Mapeamento!$J:$J,A951,[1]Mapeamento!$L:$L)</f>
        <v>#VALUE!</v>
      </c>
      <c r="J951" s="1" t="e">
        <f>SUMIF('[1]Map_Meso-Ox'!$C:$C,A951,'[1]Map_Meso-Ox'!$D:$D)</f>
        <v>#VALUE!</v>
      </c>
      <c r="K951" s="2" t="e">
        <f t="shared" si="30"/>
        <v>#VALUE!</v>
      </c>
      <c r="L951" s="1" t="e">
        <f>SUMIF('[1]Map_Meso-Ox'!$C:$C,A951,'[1]Map_Meso-Ox'!$E:$E)</f>
        <v>#VALUE!</v>
      </c>
      <c r="M951" s="2" t="e">
        <f t="shared" si="31"/>
        <v>#VALUE!</v>
      </c>
    </row>
    <row r="952" spans="1:13" x14ac:dyDescent="0.25">
      <c r="A952">
        <v>71</v>
      </c>
      <c r="B952">
        <v>3</v>
      </c>
      <c r="C952">
        <v>59.280999999999999</v>
      </c>
      <c r="D952">
        <v>0</v>
      </c>
      <c r="E952" t="s">
        <v>21</v>
      </c>
      <c r="F952">
        <v>2</v>
      </c>
      <c r="G952">
        <f>COUNTIF(E:E,E952)</f>
        <v>110</v>
      </c>
      <c r="H952">
        <f>COUNTIFS(E:E,E952,A:A,A952,D:D,D952)</f>
        <v>1</v>
      </c>
      <c r="I952" t="e">
        <f>SUMIF([1]Mapeamento!$J:$J,A952,[1]Mapeamento!$L:$L)</f>
        <v>#VALUE!</v>
      </c>
      <c r="J952" s="1" t="e">
        <f>SUMIF('[1]Map_Meso-Ox'!$C:$C,A952,'[1]Map_Meso-Ox'!$D:$D)</f>
        <v>#VALUE!</v>
      </c>
      <c r="K952" s="2" t="e">
        <f t="shared" si="30"/>
        <v>#VALUE!</v>
      </c>
      <c r="L952" s="1" t="e">
        <f>SUMIF('[1]Map_Meso-Ox'!$C:$C,A952,'[1]Map_Meso-Ox'!$E:$E)</f>
        <v>#VALUE!</v>
      </c>
      <c r="M952" s="2" t="e">
        <f t="shared" si="31"/>
        <v>#VALUE!</v>
      </c>
    </row>
    <row r="953" spans="1:13" x14ac:dyDescent="0.25">
      <c r="A953">
        <v>72</v>
      </c>
      <c r="B953">
        <v>3</v>
      </c>
      <c r="C953">
        <v>64.814999999999998</v>
      </c>
      <c r="D953">
        <v>0</v>
      </c>
      <c r="E953" t="s">
        <v>21</v>
      </c>
      <c r="F953">
        <v>1</v>
      </c>
      <c r="G953">
        <f>COUNTIF(E:E,E953)</f>
        <v>110</v>
      </c>
      <c r="H953">
        <f>COUNTIFS(E:E,E953,A:A,A953,D:D,D953)</f>
        <v>1</v>
      </c>
      <c r="I953" t="e">
        <f>SUMIF([1]Mapeamento!$J:$J,A953,[1]Mapeamento!$L:$L)</f>
        <v>#VALUE!</v>
      </c>
      <c r="J953" s="1" t="e">
        <f>SUMIF('[1]Map_Meso-Ox'!$C:$C,A953,'[1]Map_Meso-Ox'!$D:$D)</f>
        <v>#VALUE!</v>
      </c>
      <c r="K953" s="2" t="e">
        <f t="shared" si="30"/>
        <v>#VALUE!</v>
      </c>
      <c r="L953" s="1" t="e">
        <f>SUMIF('[1]Map_Meso-Ox'!$C:$C,A953,'[1]Map_Meso-Ox'!$E:$E)</f>
        <v>#VALUE!</v>
      </c>
      <c r="M953" s="2" t="e">
        <f t="shared" si="31"/>
        <v>#VALUE!</v>
      </c>
    </row>
    <row r="954" spans="1:13" x14ac:dyDescent="0.25">
      <c r="A954">
        <v>73</v>
      </c>
      <c r="B954">
        <v>3</v>
      </c>
      <c r="C954">
        <v>54.456000000000003</v>
      </c>
      <c r="D954">
        <v>0</v>
      </c>
      <c r="E954" t="s">
        <v>21</v>
      </c>
      <c r="F954">
        <v>2</v>
      </c>
      <c r="G954">
        <f>COUNTIF(E:E,E954)</f>
        <v>110</v>
      </c>
      <c r="H954">
        <f>COUNTIFS(E:E,E954,A:A,A954,D:D,D954)</f>
        <v>1</v>
      </c>
      <c r="I954" t="e">
        <f>SUMIF([1]Mapeamento!$J:$J,A954,[1]Mapeamento!$L:$L)</f>
        <v>#VALUE!</v>
      </c>
      <c r="J954" s="1" t="e">
        <f>SUMIF('[1]Map_Meso-Ox'!$C:$C,A954,'[1]Map_Meso-Ox'!$D:$D)</f>
        <v>#VALUE!</v>
      </c>
      <c r="K954" s="2" t="e">
        <f t="shared" si="30"/>
        <v>#VALUE!</v>
      </c>
      <c r="L954" s="1" t="e">
        <f>SUMIF('[1]Map_Meso-Ox'!$C:$C,A954,'[1]Map_Meso-Ox'!$E:$E)</f>
        <v>#VALUE!</v>
      </c>
      <c r="M954" s="2" t="e">
        <f t="shared" si="31"/>
        <v>#VALUE!</v>
      </c>
    </row>
    <row r="955" spans="1:13" x14ac:dyDescent="0.25">
      <c r="A955">
        <v>74</v>
      </c>
      <c r="B955">
        <v>3</v>
      </c>
      <c r="C955">
        <v>24.411000000000001</v>
      </c>
      <c r="D955">
        <v>4.0800000000000003E-2</v>
      </c>
      <c r="E955" t="s">
        <v>21</v>
      </c>
      <c r="F955">
        <v>0</v>
      </c>
      <c r="G955">
        <f>COUNTIF(E:E,E955)</f>
        <v>110</v>
      </c>
      <c r="H955">
        <f>COUNTIFS(E:E,E955,A:A,A955,D:D,D955)</f>
        <v>1</v>
      </c>
      <c r="I955" t="e">
        <f>SUMIF([1]Mapeamento!$J:$J,A955,[1]Mapeamento!$L:$L)</f>
        <v>#VALUE!</v>
      </c>
      <c r="J955" s="1" t="e">
        <f>SUMIF('[1]Map_Meso-Ox'!$C:$C,A955,'[1]Map_Meso-Ox'!$D:$D)</f>
        <v>#VALUE!</v>
      </c>
      <c r="K955" s="2" t="e">
        <f t="shared" si="30"/>
        <v>#VALUE!</v>
      </c>
      <c r="L955" s="1" t="e">
        <f>SUMIF('[1]Map_Meso-Ox'!$C:$C,A955,'[1]Map_Meso-Ox'!$E:$E)</f>
        <v>#VALUE!</v>
      </c>
      <c r="M955" s="2" t="e">
        <f t="shared" si="31"/>
        <v>#VALUE!</v>
      </c>
    </row>
    <row r="956" spans="1:13" x14ac:dyDescent="0.25">
      <c r="A956">
        <v>75</v>
      </c>
      <c r="B956">
        <v>3</v>
      </c>
      <c r="C956">
        <v>41.058999999999997</v>
      </c>
      <c r="D956">
        <v>2.0000000000000001E-4</v>
      </c>
      <c r="E956" t="s">
        <v>21</v>
      </c>
      <c r="F956">
        <v>1</v>
      </c>
      <c r="G956">
        <f>COUNTIF(E:E,E956)</f>
        <v>110</v>
      </c>
      <c r="H956">
        <f>COUNTIFS(E:E,E956,A:A,A956,D:D,D956)</f>
        <v>1</v>
      </c>
      <c r="I956" t="e">
        <f>SUMIF([1]Mapeamento!$J:$J,A956,[1]Mapeamento!$L:$L)</f>
        <v>#VALUE!</v>
      </c>
      <c r="J956" s="1" t="e">
        <f>SUMIF('[1]Map_Meso-Ox'!$C:$C,A956,'[1]Map_Meso-Ox'!$D:$D)</f>
        <v>#VALUE!</v>
      </c>
      <c r="K956" s="2" t="e">
        <f t="shared" si="30"/>
        <v>#VALUE!</v>
      </c>
      <c r="L956" s="1" t="e">
        <f>SUMIF('[1]Map_Meso-Ox'!$C:$C,A956,'[1]Map_Meso-Ox'!$E:$E)</f>
        <v>#VALUE!</v>
      </c>
      <c r="M956" s="2" t="e">
        <f t="shared" si="31"/>
        <v>#VALUE!</v>
      </c>
    </row>
    <row r="957" spans="1:13" x14ac:dyDescent="0.25">
      <c r="A957">
        <v>76</v>
      </c>
      <c r="B957">
        <v>3</v>
      </c>
      <c r="C957">
        <v>66.635000000000005</v>
      </c>
      <c r="D957">
        <v>0</v>
      </c>
      <c r="E957" t="s">
        <v>21</v>
      </c>
      <c r="F957">
        <v>1</v>
      </c>
      <c r="G957">
        <f>COUNTIF(E:E,E957)</f>
        <v>110</v>
      </c>
      <c r="H957">
        <f>COUNTIFS(E:E,E957,A:A,A957,D:D,D957)</f>
        <v>1</v>
      </c>
      <c r="I957" t="e">
        <f>SUMIF([1]Mapeamento!$J:$J,A957,[1]Mapeamento!$L:$L)</f>
        <v>#VALUE!</v>
      </c>
      <c r="J957" s="1" t="e">
        <f>SUMIF('[1]Map_Meso-Ox'!$C:$C,A957,'[1]Map_Meso-Ox'!$D:$D)</f>
        <v>#VALUE!</v>
      </c>
      <c r="K957" s="2" t="e">
        <f t="shared" si="30"/>
        <v>#VALUE!</v>
      </c>
      <c r="L957" s="1" t="e">
        <f>SUMIF('[1]Map_Meso-Ox'!$C:$C,A957,'[1]Map_Meso-Ox'!$E:$E)</f>
        <v>#VALUE!</v>
      </c>
      <c r="M957" s="2" t="e">
        <f t="shared" si="31"/>
        <v>#VALUE!</v>
      </c>
    </row>
    <row r="958" spans="1:13" x14ac:dyDescent="0.25">
      <c r="A958">
        <v>77</v>
      </c>
      <c r="B958">
        <v>3</v>
      </c>
      <c r="C958">
        <v>50.951999999999998</v>
      </c>
      <c r="D958">
        <v>0</v>
      </c>
      <c r="E958" t="s">
        <v>21</v>
      </c>
      <c r="F958">
        <v>1</v>
      </c>
      <c r="G958">
        <f>COUNTIF(E:E,E958)</f>
        <v>110</v>
      </c>
      <c r="H958">
        <f>COUNTIFS(E:E,E958,A:A,A958,D:D,D958)</f>
        <v>1</v>
      </c>
      <c r="I958" t="e">
        <f>SUMIF([1]Mapeamento!$J:$J,A958,[1]Mapeamento!$L:$L)</f>
        <v>#VALUE!</v>
      </c>
      <c r="J958" s="1" t="e">
        <f>SUMIF('[1]Map_Meso-Ox'!$C:$C,A958,'[1]Map_Meso-Ox'!$D:$D)</f>
        <v>#VALUE!</v>
      </c>
      <c r="K958" s="2" t="e">
        <f t="shared" si="30"/>
        <v>#VALUE!</v>
      </c>
      <c r="L958" s="1" t="e">
        <f>SUMIF('[1]Map_Meso-Ox'!$C:$C,A958,'[1]Map_Meso-Ox'!$E:$E)</f>
        <v>#VALUE!</v>
      </c>
      <c r="M958" s="2" t="e">
        <f t="shared" si="31"/>
        <v>#VALUE!</v>
      </c>
    </row>
    <row r="959" spans="1:13" x14ac:dyDescent="0.25">
      <c r="A959">
        <v>78</v>
      </c>
      <c r="B959">
        <v>3</v>
      </c>
      <c r="C959">
        <v>92.813000000000002</v>
      </c>
      <c r="D959">
        <v>0</v>
      </c>
      <c r="E959" t="s">
        <v>21</v>
      </c>
      <c r="F959">
        <v>2</v>
      </c>
      <c r="G959">
        <f>COUNTIF(E:E,E959)</f>
        <v>110</v>
      </c>
      <c r="H959">
        <f>COUNTIFS(E:E,E959,A:A,A959,D:D,D959)</f>
        <v>1</v>
      </c>
      <c r="I959" t="e">
        <f>SUMIF([1]Mapeamento!$J:$J,A959,[1]Mapeamento!$L:$L)</f>
        <v>#VALUE!</v>
      </c>
      <c r="J959" s="1" t="e">
        <f>SUMIF('[1]Map_Meso-Ox'!$C:$C,A959,'[1]Map_Meso-Ox'!$D:$D)</f>
        <v>#VALUE!</v>
      </c>
      <c r="K959" s="2" t="e">
        <f t="shared" si="30"/>
        <v>#VALUE!</v>
      </c>
      <c r="L959" s="1" t="e">
        <f>SUMIF('[1]Map_Meso-Ox'!$C:$C,A959,'[1]Map_Meso-Ox'!$E:$E)</f>
        <v>#VALUE!</v>
      </c>
      <c r="M959" s="2" t="e">
        <f t="shared" si="31"/>
        <v>#VALUE!</v>
      </c>
    </row>
    <row r="960" spans="1:13" x14ac:dyDescent="0.25">
      <c r="A960">
        <v>79</v>
      </c>
      <c r="B960">
        <v>3</v>
      </c>
      <c r="C960">
        <v>63.460999999999999</v>
      </c>
      <c r="D960">
        <v>0</v>
      </c>
      <c r="E960" t="s">
        <v>21</v>
      </c>
      <c r="F960">
        <v>1</v>
      </c>
      <c r="G960">
        <f>COUNTIF(E:E,E960)</f>
        <v>110</v>
      </c>
      <c r="H960">
        <f>COUNTIFS(E:E,E960,A:A,A960,D:D,D960)</f>
        <v>1</v>
      </c>
      <c r="I960" t="e">
        <f>SUMIF([1]Mapeamento!$J:$J,A960,[1]Mapeamento!$L:$L)</f>
        <v>#VALUE!</v>
      </c>
      <c r="J960" s="1" t="e">
        <f>SUMIF('[1]Map_Meso-Ox'!$C:$C,A960,'[1]Map_Meso-Ox'!$D:$D)</f>
        <v>#VALUE!</v>
      </c>
      <c r="K960" s="2" t="e">
        <f t="shared" si="30"/>
        <v>#VALUE!</v>
      </c>
      <c r="L960" s="1" t="e">
        <f>SUMIF('[1]Map_Meso-Ox'!$C:$C,A960,'[1]Map_Meso-Ox'!$E:$E)</f>
        <v>#VALUE!</v>
      </c>
      <c r="M960" s="2" t="e">
        <f t="shared" si="31"/>
        <v>#VALUE!</v>
      </c>
    </row>
    <row r="961" spans="1:13" x14ac:dyDescent="0.25">
      <c r="A961">
        <v>80</v>
      </c>
      <c r="B961">
        <v>3</v>
      </c>
      <c r="C961">
        <v>58.503999999999998</v>
      </c>
      <c r="D961">
        <v>0</v>
      </c>
      <c r="E961" t="s">
        <v>21</v>
      </c>
      <c r="F961">
        <v>1</v>
      </c>
      <c r="G961">
        <f>COUNTIF(E:E,E961)</f>
        <v>110</v>
      </c>
      <c r="H961">
        <f>COUNTIFS(E:E,E961,A:A,A961,D:D,D961)</f>
        <v>1</v>
      </c>
      <c r="I961" t="e">
        <f>SUMIF([1]Mapeamento!$J:$J,A961,[1]Mapeamento!$L:$L)</f>
        <v>#VALUE!</v>
      </c>
      <c r="J961" s="1" t="e">
        <f>SUMIF('[1]Map_Meso-Ox'!$C:$C,A961,'[1]Map_Meso-Ox'!$D:$D)</f>
        <v>#VALUE!</v>
      </c>
      <c r="K961" s="2" t="e">
        <f t="shared" si="30"/>
        <v>#VALUE!</v>
      </c>
      <c r="L961" s="1" t="e">
        <f>SUMIF('[1]Map_Meso-Ox'!$C:$C,A961,'[1]Map_Meso-Ox'!$E:$E)</f>
        <v>#VALUE!</v>
      </c>
      <c r="M961" s="2" t="e">
        <f t="shared" si="31"/>
        <v>#VALUE!</v>
      </c>
    </row>
    <row r="962" spans="1:13" x14ac:dyDescent="0.25">
      <c r="A962">
        <v>81</v>
      </c>
      <c r="B962">
        <v>3</v>
      </c>
      <c r="C962">
        <v>41.567999999999998</v>
      </c>
      <c r="D962">
        <v>1E-4</v>
      </c>
      <c r="E962" t="s">
        <v>21</v>
      </c>
      <c r="F962">
        <v>1</v>
      </c>
      <c r="G962">
        <f>COUNTIF(E:E,E962)</f>
        <v>110</v>
      </c>
      <c r="H962">
        <f>COUNTIFS(E:E,E962,A:A,A962,D:D,D962)</f>
        <v>1</v>
      </c>
      <c r="I962" t="e">
        <f>SUMIF([1]Mapeamento!$J:$J,A962,[1]Mapeamento!$L:$L)</f>
        <v>#VALUE!</v>
      </c>
      <c r="J962" s="1" t="e">
        <f>SUMIF('[1]Map_Meso-Ox'!$C:$C,A962,'[1]Map_Meso-Ox'!$D:$D)</f>
        <v>#VALUE!</v>
      </c>
      <c r="K962" s="2" t="e">
        <f t="shared" si="30"/>
        <v>#VALUE!</v>
      </c>
      <c r="L962" s="1" t="e">
        <f>SUMIF('[1]Map_Meso-Ox'!$C:$C,A962,'[1]Map_Meso-Ox'!$E:$E)</f>
        <v>#VALUE!</v>
      </c>
      <c r="M962" s="2" t="e">
        <f t="shared" si="31"/>
        <v>#VALUE!</v>
      </c>
    </row>
    <row r="963" spans="1:13" x14ac:dyDescent="0.25">
      <c r="A963">
        <v>82</v>
      </c>
      <c r="B963">
        <v>3</v>
      </c>
      <c r="C963">
        <v>44.244999999999997</v>
      </c>
      <c r="D963">
        <v>1E-4</v>
      </c>
      <c r="E963" t="s">
        <v>21</v>
      </c>
      <c r="F963">
        <v>1</v>
      </c>
      <c r="G963">
        <f>COUNTIF(E:E,E963)</f>
        <v>110</v>
      </c>
      <c r="H963">
        <f>COUNTIFS(E:E,E963,A:A,A963,D:D,D963)</f>
        <v>1</v>
      </c>
      <c r="I963" t="e">
        <f>SUMIF([1]Mapeamento!$J:$J,A963,[1]Mapeamento!$L:$L)</f>
        <v>#VALUE!</v>
      </c>
      <c r="J963" s="1" t="e">
        <f>SUMIF('[1]Map_Meso-Ox'!$C:$C,A963,'[1]Map_Meso-Ox'!$D:$D)</f>
        <v>#VALUE!</v>
      </c>
      <c r="K963" s="2" t="e">
        <f t="shared" si="30"/>
        <v>#VALUE!</v>
      </c>
      <c r="L963" s="1" t="e">
        <f>SUMIF('[1]Map_Meso-Ox'!$C:$C,A963,'[1]Map_Meso-Ox'!$E:$E)</f>
        <v>#VALUE!</v>
      </c>
      <c r="M963" s="2" t="e">
        <f t="shared" si="31"/>
        <v>#VALUE!</v>
      </c>
    </row>
    <row r="964" spans="1:13" x14ac:dyDescent="0.25">
      <c r="A964">
        <v>83</v>
      </c>
      <c r="B964">
        <v>3</v>
      </c>
      <c r="C964">
        <v>62.173999999999999</v>
      </c>
      <c r="D964">
        <v>0</v>
      </c>
      <c r="E964" t="s">
        <v>21</v>
      </c>
      <c r="F964">
        <v>1</v>
      </c>
      <c r="G964">
        <f>COUNTIF(E:E,E964)</f>
        <v>110</v>
      </c>
      <c r="H964">
        <f>COUNTIFS(E:E,E964,A:A,A964,D:D,D964)</f>
        <v>1</v>
      </c>
      <c r="I964" t="e">
        <f>SUMIF([1]Mapeamento!$J:$J,A964,[1]Mapeamento!$L:$L)</f>
        <v>#VALUE!</v>
      </c>
      <c r="J964" s="1" t="e">
        <f>SUMIF('[1]Map_Meso-Ox'!$C:$C,A964,'[1]Map_Meso-Ox'!$D:$D)</f>
        <v>#VALUE!</v>
      </c>
      <c r="K964" s="2" t="e">
        <f t="shared" si="30"/>
        <v>#VALUE!</v>
      </c>
      <c r="L964" s="1" t="e">
        <f>SUMIF('[1]Map_Meso-Ox'!$C:$C,A964,'[1]Map_Meso-Ox'!$E:$E)</f>
        <v>#VALUE!</v>
      </c>
      <c r="M964" s="2" t="e">
        <f t="shared" si="31"/>
        <v>#VALUE!</v>
      </c>
    </row>
    <row r="965" spans="1:13" x14ac:dyDescent="0.25">
      <c r="A965">
        <v>84</v>
      </c>
      <c r="B965">
        <v>3</v>
      </c>
      <c r="C965">
        <v>52.280999999999999</v>
      </c>
      <c r="D965">
        <v>0</v>
      </c>
      <c r="E965" t="s">
        <v>21</v>
      </c>
      <c r="F965">
        <v>2</v>
      </c>
      <c r="G965">
        <f>COUNTIF(E:E,E965)</f>
        <v>110</v>
      </c>
      <c r="H965">
        <f>COUNTIFS(E:E,E965,A:A,A965,D:D,D965)</f>
        <v>1</v>
      </c>
      <c r="I965" t="e">
        <f>SUMIF([1]Mapeamento!$J:$J,A965,[1]Mapeamento!$L:$L)</f>
        <v>#VALUE!</v>
      </c>
      <c r="J965" s="1" t="e">
        <f>SUMIF('[1]Map_Meso-Ox'!$C:$C,A965,'[1]Map_Meso-Ox'!$D:$D)</f>
        <v>#VALUE!</v>
      </c>
      <c r="K965" s="2" t="e">
        <f t="shared" si="30"/>
        <v>#VALUE!</v>
      </c>
      <c r="L965" s="1" t="e">
        <f>SUMIF('[1]Map_Meso-Ox'!$C:$C,A965,'[1]Map_Meso-Ox'!$E:$E)</f>
        <v>#VALUE!</v>
      </c>
      <c r="M965" s="2" t="e">
        <f t="shared" si="31"/>
        <v>#VALUE!</v>
      </c>
    </row>
    <row r="966" spans="1:13" x14ac:dyDescent="0.25">
      <c r="A966">
        <v>85</v>
      </c>
      <c r="B966">
        <v>3</v>
      </c>
      <c r="C966">
        <v>55.152000000000001</v>
      </c>
      <c r="D966">
        <v>0</v>
      </c>
      <c r="E966" t="s">
        <v>21</v>
      </c>
      <c r="F966">
        <v>1</v>
      </c>
      <c r="G966">
        <f>COUNTIF(E:E,E966)</f>
        <v>110</v>
      </c>
      <c r="H966">
        <f>COUNTIFS(E:E,E966,A:A,A966,D:D,D966)</f>
        <v>1</v>
      </c>
      <c r="I966" t="e">
        <f>SUMIF([1]Mapeamento!$J:$J,A966,[1]Mapeamento!$L:$L)</f>
        <v>#VALUE!</v>
      </c>
      <c r="J966" s="1" t="e">
        <f>SUMIF('[1]Map_Meso-Ox'!$C:$C,A966,'[1]Map_Meso-Ox'!$D:$D)</f>
        <v>#VALUE!</v>
      </c>
      <c r="K966" s="2" t="e">
        <f t="shared" si="30"/>
        <v>#VALUE!</v>
      </c>
      <c r="L966" s="1" t="e">
        <f>SUMIF('[1]Map_Meso-Ox'!$C:$C,A966,'[1]Map_Meso-Ox'!$E:$E)</f>
        <v>#VALUE!</v>
      </c>
      <c r="M966" s="2" t="e">
        <f t="shared" si="31"/>
        <v>#VALUE!</v>
      </c>
    </row>
    <row r="967" spans="1:13" x14ac:dyDescent="0.25">
      <c r="A967">
        <v>86</v>
      </c>
      <c r="B967">
        <v>3</v>
      </c>
      <c r="C967">
        <v>59.357999999999997</v>
      </c>
      <c r="D967">
        <v>0</v>
      </c>
      <c r="E967" t="s">
        <v>21</v>
      </c>
      <c r="F967">
        <v>1</v>
      </c>
      <c r="G967">
        <f>COUNTIF(E:E,E967)</f>
        <v>110</v>
      </c>
      <c r="H967">
        <f>COUNTIFS(E:E,E967,A:A,A967,D:D,D967)</f>
        <v>1</v>
      </c>
      <c r="I967" t="e">
        <f>SUMIF([1]Mapeamento!$J:$J,A967,[1]Mapeamento!$L:$L)</f>
        <v>#VALUE!</v>
      </c>
      <c r="J967" s="1" t="e">
        <f>SUMIF('[1]Map_Meso-Ox'!$C:$C,A967,'[1]Map_Meso-Ox'!$D:$D)</f>
        <v>#VALUE!</v>
      </c>
      <c r="K967" s="2" t="e">
        <f t="shared" si="30"/>
        <v>#VALUE!</v>
      </c>
      <c r="L967" s="1" t="e">
        <f>SUMIF('[1]Map_Meso-Ox'!$C:$C,A967,'[1]Map_Meso-Ox'!$E:$E)</f>
        <v>#VALUE!</v>
      </c>
      <c r="M967" s="2" t="e">
        <f t="shared" si="31"/>
        <v>#VALUE!</v>
      </c>
    </row>
    <row r="968" spans="1:13" x14ac:dyDescent="0.25">
      <c r="A968">
        <v>87</v>
      </c>
      <c r="B968">
        <v>3</v>
      </c>
      <c r="C968">
        <v>43.731000000000002</v>
      </c>
      <c r="D968">
        <v>1E-4</v>
      </c>
      <c r="E968" t="s">
        <v>21</v>
      </c>
      <c r="F968">
        <v>0</v>
      </c>
      <c r="G968">
        <f>COUNTIF(E:E,E968)</f>
        <v>110</v>
      </c>
      <c r="H968">
        <f>COUNTIFS(E:E,E968,A:A,A968,D:D,D968)</f>
        <v>1</v>
      </c>
      <c r="I968" t="e">
        <f>SUMIF([1]Mapeamento!$J:$J,A968,[1]Mapeamento!$L:$L)</f>
        <v>#VALUE!</v>
      </c>
      <c r="J968" s="1" t="e">
        <f>SUMIF('[1]Map_Meso-Ox'!$C:$C,A968,'[1]Map_Meso-Ox'!$D:$D)</f>
        <v>#VALUE!</v>
      </c>
      <c r="K968" s="2" t="e">
        <f t="shared" si="30"/>
        <v>#VALUE!</v>
      </c>
      <c r="L968" s="1" t="e">
        <f>SUMIF('[1]Map_Meso-Ox'!$C:$C,A968,'[1]Map_Meso-Ox'!$E:$E)</f>
        <v>#VALUE!</v>
      </c>
      <c r="M968" s="2" t="e">
        <f t="shared" si="31"/>
        <v>#VALUE!</v>
      </c>
    </row>
    <row r="969" spans="1:13" x14ac:dyDescent="0.25">
      <c r="A969">
        <v>88</v>
      </c>
      <c r="B969">
        <v>3</v>
      </c>
      <c r="C969">
        <v>33.405999999999999</v>
      </c>
      <c r="D969">
        <v>2.5000000000000001E-3</v>
      </c>
      <c r="E969" t="s">
        <v>21</v>
      </c>
      <c r="F969">
        <v>0</v>
      </c>
      <c r="G969">
        <f>COUNTIF(E:E,E969)</f>
        <v>110</v>
      </c>
      <c r="H969">
        <f>COUNTIFS(E:E,E969,A:A,A969,D:D,D969)</f>
        <v>1</v>
      </c>
      <c r="I969" t="e">
        <f>SUMIF([1]Mapeamento!$J:$J,A969,[1]Mapeamento!$L:$L)</f>
        <v>#VALUE!</v>
      </c>
      <c r="J969" s="1" t="e">
        <f>SUMIF('[1]Map_Meso-Ox'!$C:$C,A969,'[1]Map_Meso-Ox'!$D:$D)</f>
        <v>#VALUE!</v>
      </c>
      <c r="K969" s="2" t="e">
        <f t="shared" si="30"/>
        <v>#VALUE!</v>
      </c>
      <c r="L969" s="1" t="e">
        <f>SUMIF('[1]Map_Meso-Ox'!$C:$C,A969,'[1]Map_Meso-Ox'!$E:$E)</f>
        <v>#VALUE!</v>
      </c>
      <c r="M969" s="2" t="e">
        <f t="shared" si="31"/>
        <v>#VALUE!</v>
      </c>
    </row>
    <row r="970" spans="1:13" x14ac:dyDescent="0.25">
      <c r="A970">
        <v>89</v>
      </c>
      <c r="B970">
        <v>3</v>
      </c>
      <c r="C970">
        <v>28.126999999999999</v>
      </c>
      <c r="D970">
        <v>1.37E-2</v>
      </c>
      <c r="E970" t="s">
        <v>21</v>
      </c>
      <c r="F970">
        <v>0</v>
      </c>
      <c r="G970">
        <f>COUNTIF(E:E,E970)</f>
        <v>110</v>
      </c>
      <c r="H970">
        <f>COUNTIFS(E:E,E970,A:A,A970,D:D,D970)</f>
        <v>1</v>
      </c>
      <c r="I970" t="e">
        <f>SUMIF([1]Mapeamento!$J:$J,A970,[1]Mapeamento!$L:$L)</f>
        <v>#VALUE!</v>
      </c>
      <c r="J970" s="1" t="e">
        <f>SUMIF('[1]Map_Meso-Ox'!$C:$C,A970,'[1]Map_Meso-Ox'!$D:$D)</f>
        <v>#VALUE!</v>
      </c>
      <c r="K970" s="2" t="e">
        <f t="shared" si="30"/>
        <v>#VALUE!</v>
      </c>
      <c r="L970" s="1" t="e">
        <f>SUMIF('[1]Map_Meso-Ox'!$C:$C,A970,'[1]Map_Meso-Ox'!$E:$E)</f>
        <v>#VALUE!</v>
      </c>
      <c r="M970" s="2" t="e">
        <f t="shared" si="31"/>
        <v>#VALUE!</v>
      </c>
    </row>
    <row r="971" spans="1:13" x14ac:dyDescent="0.25">
      <c r="A971">
        <v>90</v>
      </c>
      <c r="B971">
        <v>3</v>
      </c>
      <c r="C971">
        <v>52.865000000000002</v>
      </c>
      <c r="D971">
        <v>0</v>
      </c>
      <c r="E971" t="s">
        <v>21</v>
      </c>
      <c r="F971">
        <v>1</v>
      </c>
      <c r="G971">
        <f>COUNTIF(E:E,E971)</f>
        <v>110</v>
      </c>
      <c r="H971">
        <f>COUNTIFS(E:E,E971,A:A,A971,D:D,D971)</f>
        <v>1</v>
      </c>
      <c r="I971" t="e">
        <f>SUMIF([1]Mapeamento!$J:$J,A971,[1]Mapeamento!$L:$L)</f>
        <v>#VALUE!</v>
      </c>
      <c r="J971" s="1" t="e">
        <f>SUMIF('[1]Map_Meso-Ox'!$C:$C,A971,'[1]Map_Meso-Ox'!$D:$D)</f>
        <v>#VALUE!</v>
      </c>
      <c r="K971" s="2" t="e">
        <f t="shared" si="30"/>
        <v>#VALUE!</v>
      </c>
      <c r="L971" s="1" t="e">
        <f>SUMIF('[1]Map_Meso-Ox'!$C:$C,A971,'[1]Map_Meso-Ox'!$E:$E)</f>
        <v>#VALUE!</v>
      </c>
      <c r="M971" s="2" t="e">
        <f t="shared" si="31"/>
        <v>#VALUE!</v>
      </c>
    </row>
    <row r="972" spans="1:13" x14ac:dyDescent="0.25">
      <c r="A972">
        <v>91</v>
      </c>
      <c r="B972">
        <v>3</v>
      </c>
      <c r="C972">
        <v>70.555999999999997</v>
      </c>
      <c r="D972">
        <v>0</v>
      </c>
      <c r="E972" t="s">
        <v>21</v>
      </c>
      <c r="F972">
        <v>2</v>
      </c>
      <c r="G972">
        <f>COUNTIF(E:E,E972)</f>
        <v>110</v>
      </c>
      <c r="H972">
        <f>COUNTIFS(E:E,E972,A:A,A972,D:D,D972)</f>
        <v>1</v>
      </c>
      <c r="I972" t="e">
        <f>SUMIF([1]Mapeamento!$J:$J,A972,[1]Mapeamento!$L:$L)</f>
        <v>#VALUE!</v>
      </c>
      <c r="J972" s="1" t="e">
        <f>SUMIF('[1]Map_Meso-Ox'!$C:$C,A972,'[1]Map_Meso-Ox'!$D:$D)</f>
        <v>#VALUE!</v>
      </c>
      <c r="K972" s="2" t="e">
        <f t="shared" si="30"/>
        <v>#VALUE!</v>
      </c>
      <c r="L972" s="1" t="e">
        <f>SUMIF('[1]Map_Meso-Ox'!$C:$C,A972,'[1]Map_Meso-Ox'!$E:$E)</f>
        <v>#VALUE!</v>
      </c>
      <c r="M972" s="2" t="e">
        <f t="shared" si="31"/>
        <v>#VALUE!</v>
      </c>
    </row>
    <row r="973" spans="1:13" x14ac:dyDescent="0.25">
      <c r="A973">
        <v>92</v>
      </c>
      <c r="B973">
        <v>3</v>
      </c>
      <c r="C973">
        <v>47.347000000000001</v>
      </c>
      <c r="D973">
        <v>0</v>
      </c>
      <c r="E973" t="s">
        <v>21</v>
      </c>
      <c r="F973">
        <v>0</v>
      </c>
      <c r="G973">
        <f>COUNTIF(E:E,E973)</f>
        <v>110</v>
      </c>
      <c r="H973">
        <f>COUNTIFS(E:E,E973,A:A,A973,D:D,D973)</f>
        <v>1</v>
      </c>
      <c r="I973" t="e">
        <f>SUMIF([1]Mapeamento!$J:$J,A973,[1]Mapeamento!$L:$L)</f>
        <v>#VALUE!</v>
      </c>
      <c r="J973" s="1" t="e">
        <f>SUMIF('[1]Map_Meso-Ox'!$C:$C,A973,'[1]Map_Meso-Ox'!$D:$D)</f>
        <v>#VALUE!</v>
      </c>
      <c r="K973" s="2" t="e">
        <f t="shared" si="30"/>
        <v>#VALUE!</v>
      </c>
      <c r="L973" s="1" t="e">
        <f>SUMIF('[1]Map_Meso-Ox'!$C:$C,A973,'[1]Map_Meso-Ox'!$E:$E)</f>
        <v>#VALUE!</v>
      </c>
      <c r="M973" s="2" t="e">
        <f t="shared" si="31"/>
        <v>#VALUE!</v>
      </c>
    </row>
    <row r="974" spans="1:13" x14ac:dyDescent="0.25">
      <c r="A974">
        <v>93</v>
      </c>
      <c r="B974">
        <v>3</v>
      </c>
      <c r="C974">
        <v>49.988</v>
      </c>
      <c r="D974">
        <v>0</v>
      </c>
      <c r="E974" t="s">
        <v>21</v>
      </c>
      <c r="F974">
        <v>0</v>
      </c>
      <c r="G974">
        <f>COUNTIF(E:E,E974)</f>
        <v>110</v>
      </c>
      <c r="H974">
        <f>COUNTIFS(E:E,E974,A:A,A974,D:D,D974)</f>
        <v>1</v>
      </c>
      <c r="I974" t="e">
        <f>SUMIF([1]Mapeamento!$J:$J,A974,[1]Mapeamento!$L:$L)</f>
        <v>#VALUE!</v>
      </c>
      <c r="J974" s="1" t="e">
        <f>SUMIF('[1]Map_Meso-Ox'!$C:$C,A974,'[1]Map_Meso-Ox'!$D:$D)</f>
        <v>#VALUE!</v>
      </c>
      <c r="K974" s="2" t="e">
        <f t="shared" si="30"/>
        <v>#VALUE!</v>
      </c>
      <c r="L974" s="1" t="e">
        <f>SUMIF('[1]Map_Meso-Ox'!$C:$C,A974,'[1]Map_Meso-Ox'!$E:$E)</f>
        <v>#VALUE!</v>
      </c>
      <c r="M974" s="2" t="e">
        <f t="shared" si="31"/>
        <v>#VALUE!</v>
      </c>
    </row>
    <row r="975" spans="1:13" x14ac:dyDescent="0.25">
      <c r="A975">
        <v>94</v>
      </c>
      <c r="B975">
        <v>3</v>
      </c>
      <c r="C975">
        <v>44.304000000000002</v>
      </c>
      <c r="D975">
        <v>1E-4</v>
      </c>
      <c r="E975" t="s">
        <v>21</v>
      </c>
      <c r="F975">
        <v>2</v>
      </c>
      <c r="G975">
        <f>COUNTIF(E:E,E975)</f>
        <v>110</v>
      </c>
      <c r="H975">
        <f>COUNTIFS(E:E,E975,A:A,A975,D:D,D975)</f>
        <v>1</v>
      </c>
      <c r="I975" t="e">
        <f>SUMIF([1]Mapeamento!$J:$J,A975,[1]Mapeamento!$L:$L)</f>
        <v>#VALUE!</v>
      </c>
      <c r="J975" s="1" t="e">
        <f>SUMIF('[1]Map_Meso-Ox'!$C:$C,A975,'[1]Map_Meso-Ox'!$D:$D)</f>
        <v>#VALUE!</v>
      </c>
      <c r="K975" s="2" t="e">
        <f t="shared" si="30"/>
        <v>#VALUE!</v>
      </c>
      <c r="L975" s="1" t="e">
        <f>SUMIF('[1]Map_Meso-Ox'!$C:$C,A975,'[1]Map_Meso-Ox'!$E:$E)</f>
        <v>#VALUE!</v>
      </c>
      <c r="M975" s="2" t="e">
        <f t="shared" si="31"/>
        <v>#VALUE!</v>
      </c>
    </row>
    <row r="976" spans="1:13" x14ac:dyDescent="0.25">
      <c r="A976">
        <v>95</v>
      </c>
      <c r="B976">
        <v>3</v>
      </c>
      <c r="C976">
        <v>29.433</v>
      </c>
      <c r="D976">
        <v>9.1000000000000004E-3</v>
      </c>
      <c r="E976" t="s">
        <v>21</v>
      </c>
      <c r="F976">
        <v>0</v>
      </c>
      <c r="G976">
        <f>COUNTIF(E:E,E976)</f>
        <v>110</v>
      </c>
      <c r="H976">
        <f>COUNTIFS(E:E,E976,A:A,A976,D:D,D976)</f>
        <v>1</v>
      </c>
      <c r="I976" t="e">
        <f>SUMIF([1]Mapeamento!$J:$J,A976,[1]Mapeamento!$L:$L)</f>
        <v>#VALUE!</v>
      </c>
      <c r="J976" s="1" t="e">
        <f>SUMIF('[1]Map_Meso-Ox'!$C:$C,A976,'[1]Map_Meso-Ox'!$D:$D)</f>
        <v>#VALUE!</v>
      </c>
      <c r="K976" s="2" t="e">
        <f t="shared" si="30"/>
        <v>#VALUE!</v>
      </c>
      <c r="L976" s="1" t="e">
        <f>SUMIF('[1]Map_Meso-Ox'!$C:$C,A976,'[1]Map_Meso-Ox'!$E:$E)</f>
        <v>#VALUE!</v>
      </c>
      <c r="M976" s="2" t="e">
        <f t="shared" si="31"/>
        <v>#VALUE!</v>
      </c>
    </row>
    <row r="977" spans="1:13" x14ac:dyDescent="0.25">
      <c r="A977">
        <v>96</v>
      </c>
      <c r="B977">
        <v>3</v>
      </c>
      <c r="C977">
        <v>43.158999999999999</v>
      </c>
      <c r="D977">
        <v>1E-4</v>
      </c>
      <c r="E977" t="s">
        <v>21</v>
      </c>
      <c r="F977">
        <v>0</v>
      </c>
      <c r="G977">
        <f>COUNTIF(E:E,E977)</f>
        <v>110</v>
      </c>
      <c r="H977">
        <f>COUNTIFS(E:E,E977,A:A,A977,D:D,D977)</f>
        <v>1</v>
      </c>
      <c r="I977" t="e">
        <f>SUMIF([1]Mapeamento!$J:$J,A977,[1]Mapeamento!$L:$L)</f>
        <v>#VALUE!</v>
      </c>
      <c r="J977" s="1" t="e">
        <f>SUMIF('[1]Map_Meso-Ox'!$C:$C,A977,'[1]Map_Meso-Ox'!$D:$D)</f>
        <v>#VALUE!</v>
      </c>
      <c r="K977" s="2" t="e">
        <f t="shared" si="30"/>
        <v>#VALUE!</v>
      </c>
      <c r="L977" s="1" t="e">
        <f>SUMIF('[1]Map_Meso-Ox'!$C:$C,A977,'[1]Map_Meso-Ox'!$E:$E)</f>
        <v>#VALUE!</v>
      </c>
      <c r="M977" s="2" t="e">
        <f t="shared" si="31"/>
        <v>#VALUE!</v>
      </c>
    </row>
    <row r="978" spans="1:13" x14ac:dyDescent="0.25">
      <c r="A978">
        <v>97</v>
      </c>
      <c r="B978">
        <v>3</v>
      </c>
      <c r="C978">
        <v>44.822000000000003</v>
      </c>
      <c r="D978">
        <v>0</v>
      </c>
      <c r="E978" t="s">
        <v>21</v>
      </c>
      <c r="F978">
        <v>1</v>
      </c>
      <c r="G978">
        <f>COUNTIF(E:E,E978)</f>
        <v>110</v>
      </c>
      <c r="H978">
        <f>COUNTIFS(E:E,E978,A:A,A978,D:D,D978)</f>
        <v>1</v>
      </c>
      <c r="I978" t="e">
        <f>SUMIF([1]Mapeamento!$J:$J,A978,[1]Mapeamento!$L:$L)</f>
        <v>#VALUE!</v>
      </c>
      <c r="J978" s="1" t="e">
        <f>SUMIF('[1]Map_Meso-Ox'!$C:$C,A978,'[1]Map_Meso-Ox'!$D:$D)</f>
        <v>#VALUE!</v>
      </c>
      <c r="K978" s="2" t="e">
        <f t="shared" si="30"/>
        <v>#VALUE!</v>
      </c>
      <c r="L978" s="1" t="e">
        <f>SUMIF('[1]Map_Meso-Ox'!$C:$C,A978,'[1]Map_Meso-Ox'!$E:$E)</f>
        <v>#VALUE!</v>
      </c>
      <c r="M978" s="2" t="e">
        <f t="shared" si="31"/>
        <v>#VALUE!</v>
      </c>
    </row>
    <row r="979" spans="1:13" x14ac:dyDescent="0.25">
      <c r="A979">
        <v>98</v>
      </c>
      <c r="B979">
        <v>3</v>
      </c>
      <c r="C979">
        <v>45.57</v>
      </c>
      <c r="D979">
        <v>0</v>
      </c>
      <c r="E979" t="s">
        <v>21</v>
      </c>
      <c r="F979">
        <v>0</v>
      </c>
      <c r="G979">
        <f>COUNTIF(E:E,E979)</f>
        <v>110</v>
      </c>
      <c r="H979">
        <f>COUNTIFS(E:E,E979,A:A,A979,D:D,D979)</f>
        <v>1</v>
      </c>
      <c r="I979" t="e">
        <f>SUMIF([1]Mapeamento!$J:$J,A979,[1]Mapeamento!$L:$L)</f>
        <v>#VALUE!</v>
      </c>
      <c r="J979" s="1" t="e">
        <f>SUMIF('[1]Map_Meso-Ox'!$C:$C,A979,'[1]Map_Meso-Ox'!$D:$D)</f>
        <v>#VALUE!</v>
      </c>
      <c r="K979" s="2" t="e">
        <f t="shared" si="30"/>
        <v>#VALUE!</v>
      </c>
      <c r="L979" s="1" t="e">
        <f>SUMIF('[1]Map_Meso-Ox'!$C:$C,A979,'[1]Map_Meso-Ox'!$E:$E)</f>
        <v>#VALUE!</v>
      </c>
      <c r="M979" s="2" t="e">
        <f t="shared" si="31"/>
        <v>#VALUE!</v>
      </c>
    </row>
    <row r="980" spans="1:13" x14ac:dyDescent="0.25">
      <c r="A980">
        <v>99</v>
      </c>
      <c r="B980">
        <v>3</v>
      </c>
      <c r="C980">
        <v>60.819000000000003</v>
      </c>
      <c r="D980">
        <v>0</v>
      </c>
      <c r="E980" t="s">
        <v>21</v>
      </c>
      <c r="F980">
        <v>1</v>
      </c>
      <c r="G980">
        <f>COUNTIF(E:E,E980)</f>
        <v>110</v>
      </c>
      <c r="H980">
        <f>COUNTIFS(E:E,E980,A:A,A980,D:D,D980)</f>
        <v>1</v>
      </c>
      <c r="I980" t="e">
        <f>SUMIF([1]Mapeamento!$J:$J,A980,[1]Mapeamento!$L:$L)</f>
        <v>#VALUE!</v>
      </c>
      <c r="J980" s="1" t="e">
        <f>SUMIF('[1]Map_Meso-Ox'!$C:$C,A980,'[1]Map_Meso-Ox'!$D:$D)</f>
        <v>#VALUE!</v>
      </c>
      <c r="K980" s="2" t="e">
        <f t="shared" si="30"/>
        <v>#VALUE!</v>
      </c>
      <c r="L980" s="1" t="e">
        <f>SUMIF('[1]Map_Meso-Ox'!$C:$C,A980,'[1]Map_Meso-Ox'!$E:$E)</f>
        <v>#VALUE!</v>
      </c>
      <c r="M980" s="2" t="e">
        <f t="shared" si="31"/>
        <v>#VALUE!</v>
      </c>
    </row>
    <row r="981" spans="1:13" x14ac:dyDescent="0.25">
      <c r="A981">
        <v>100</v>
      </c>
      <c r="B981">
        <v>3</v>
      </c>
      <c r="C981">
        <v>70.126999999999995</v>
      </c>
      <c r="D981">
        <v>0</v>
      </c>
      <c r="E981" t="s">
        <v>21</v>
      </c>
      <c r="F981">
        <v>2</v>
      </c>
      <c r="G981">
        <f>COUNTIF(E:E,E981)</f>
        <v>110</v>
      </c>
      <c r="H981">
        <f>COUNTIFS(E:E,E981,A:A,A981,D:D,D981)</f>
        <v>1</v>
      </c>
      <c r="I981" t="e">
        <f>SUMIF([1]Mapeamento!$J:$J,A981,[1]Mapeamento!$L:$L)</f>
        <v>#VALUE!</v>
      </c>
      <c r="J981" s="1" t="e">
        <f>SUMIF('[1]Map_Meso-Ox'!$C:$C,A981,'[1]Map_Meso-Ox'!$D:$D)</f>
        <v>#VALUE!</v>
      </c>
      <c r="K981" s="2" t="e">
        <f t="shared" si="30"/>
        <v>#VALUE!</v>
      </c>
      <c r="L981" s="1" t="e">
        <f>SUMIF('[1]Map_Meso-Ox'!$C:$C,A981,'[1]Map_Meso-Ox'!$E:$E)</f>
        <v>#VALUE!</v>
      </c>
      <c r="M981" s="2" t="e">
        <f t="shared" si="31"/>
        <v>#VALUE!</v>
      </c>
    </row>
    <row r="982" spans="1:13" x14ac:dyDescent="0.25">
      <c r="A982">
        <v>101</v>
      </c>
      <c r="B982">
        <v>3</v>
      </c>
      <c r="C982">
        <v>73.394000000000005</v>
      </c>
      <c r="D982">
        <v>0</v>
      </c>
      <c r="E982" t="s">
        <v>21</v>
      </c>
      <c r="F982">
        <v>2</v>
      </c>
      <c r="G982">
        <f>COUNTIF(E:E,E982)</f>
        <v>110</v>
      </c>
      <c r="H982">
        <f>COUNTIFS(E:E,E982,A:A,A982,D:D,D982)</f>
        <v>1</v>
      </c>
      <c r="I982" t="e">
        <f>SUMIF([1]Mapeamento!$J:$J,A982,[1]Mapeamento!$L:$L)</f>
        <v>#VALUE!</v>
      </c>
      <c r="J982" s="1" t="e">
        <f>SUMIF('[1]Map_Meso-Ox'!$C:$C,A982,'[1]Map_Meso-Ox'!$D:$D)</f>
        <v>#VALUE!</v>
      </c>
      <c r="K982" s="2" t="e">
        <f t="shared" si="30"/>
        <v>#VALUE!</v>
      </c>
      <c r="L982" s="1" t="e">
        <f>SUMIF('[1]Map_Meso-Ox'!$C:$C,A982,'[1]Map_Meso-Ox'!$E:$E)</f>
        <v>#VALUE!</v>
      </c>
      <c r="M982" s="2" t="e">
        <f t="shared" si="31"/>
        <v>#VALUE!</v>
      </c>
    </row>
    <row r="983" spans="1:13" x14ac:dyDescent="0.25">
      <c r="A983">
        <v>102</v>
      </c>
      <c r="B983">
        <v>3</v>
      </c>
      <c r="C983">
        <v>44.31</v>
      </c>
      <c r="D983">
        <v>1E-4</v>
      </c>
      <c r="E983" t="s">
        <v>21</v>
      </c>
      <c r="F983">
        <v>0</v>
      </c>
      <c r="G983">
        <f>COUNTIF(E:E,E983)</f>
        <v>110</v>
      </c>
      <c r="H983">
        <f>COUNTIFS(E:E,E983,A:A,A983,D:D,D983)</f>
        <v>1</v>
      </c>
      <c r="I983" t="e">
        <f>SUMIF([1]Mapeamento!$J:$J,A983,[1]Mapeamento!$L:$L)</f>
        <v>#VALUE!</v>
      </c>
      <c r="J983" s="1" t="e">
        <f>SUMIF('[1]Map_Meso-Ox'!$C:$C,A983,'[1]Map_Meso-Ox'!$D:$D)</f>
        <v>#VALUE!</v>
      </c>
      <c r="K983" s="2" t="e">
        <f t="shared" si="30"/>
        <v>#VALUE!</v>
      </c>
      <c r="L983" s="1" t="e">
        <f>SUMIF('[1]Map_Meso-Ox'!$C:$C,A983,'[1]Map_Meso-Ox'!$E:$E)</f>
        <v>#VALUE!</v>
      </c>
      <c r="M983" s="2" t="e">
        <f t="shared" si="31"/>
        <v>#VALUE!</v>
      </c>
    </row>
    <row r="984" spans="1:13" x14ac:dyDescent="0.25">
      <c r="A984">
        <v>103</v>
      </c>
      <c r="B984">
        <v>3</v>
      </c>
      <c r="C984">
        <v>61.826000000000001</v>
      </c>
      <c r="D984">
        <v>0</v>
      </c>
      <c r="E984" t="s">
        <v>21</v>
      </c>
      <c r="F984">
        <v>1</v>
      </c>
      <c r="G984">
        <f>COUNTIF(E:E,E984)</f>
        <v>110</v>
      </c>
      <c r="H984">
        <f>COUNTIFS(E:E,E984,A:A,A984,D:D,D984)</f>
        <v>1</v>
      </c>
      <c r="I984" t="e">
        <f>SUMIF([1]Mapeamento!$J:$J,A984,[1]Mapeamento!$L:$L)</f>
        <v>#VALUE!</v>
      </c>
      <c r="J984" s="1" t="e">
        <f>SUMIF('[1]Map_Meso-Ox'!$C:$C,A984,'[1]Map_Meso-Ox'!$D:$D)</f>
        <v>#VALUE!</v>
      </c>
      <c r="K984" s="2" t="e">
        <f t="shared" si="30"/>
        <v>#VALUE!</v>
      </c>
      <c r="L984" s="1" t="e">
        <f>SUMIF('[1]Map_Meso-Ox'!$C:$C,A984,'[1]Map_Meso-Ox'!$E:$E)</f>
        <v>#VALUE!</v>
      </c>
      <c r="M984" s="2" t="e">
        <f t="shared" si="31"/>
        <v>#VALUE!</v>
      </c>
    </row>
    <row r="985" spans="1:13" x14ac:dyDescent="0.25">
      <c r="A985">
        <v>104</v>
      </c>
      <c r="B985">
        <v>3</v>
      </c>
      <c r="C985">
        <v>51.235999999999997</v>
      </c>
      <c r="D985">
        <v>0</v>
      </c>
      <c r="E985" t="s">
        <v>21</v>
      </c>
      <c r="F985">
        <v>1</v>
      </c>
      <c r="G985">
        <f>COUNTIF(E:E,E985)</f>
        <v>110</v>
      </c>
      <c r="H985">
        <f>COUNTIFS(E:E,E985,A:A,A985,D:D,D985)</f>
        <v>1</v>
      </c>
      <c r="I985" t="e">
        <f>SUMIF([1]Mapeamento!$J:$J,A985,[1]Mapeamento!$L:$L)</f>
        <v>#VALUE!</v>
      </c>
      <c r="J985" s="1" t="e">
        <f>SUMIF('[1]Map_Meso-Ox'!$C:$C,A985,'[1]Map_Meso-Ox'!$D:$D)</f>
        <v>#VALUE!</v>
      </c>
      <c r="K985" s="2" t="e">
        <f t="shared" si="30"/>
        <v>#VALUE!</v>
      </c>
      <c r="L985" s="1" t="e">
        <f>SUMIF('[1]Map_Meso-Ox'!$C:$C,A985,'[1]Map_Meso-Ox'!$E:$E)</f>
        <v>#VALUE!</v>
      </c>
      <c r="M985" s="2" t="e">
        <f t="shared" si="31"/>
        <v>#VALUE!</v>
      </c>
    </row>
    <row r="986" spans="1:13" x14ac:dyDescent="0.25">
      <c r="A986">
        <v>105</v>
      </c>
      <c r="B986">
        <v>3</v>
      </c>
      <c r="C986">
        <v>64.254999999999995</v>
      </c>
      <c r="D986">
        <v>0</v>
      </c>
      <c r="E986" t="s">
        <v>21</v>
      </c>
      <c r="F986">
        <v>2</v>
      </c>
      <c r="G986">
        <f>COUNTIF(E:E,E986)</f>
        <v>110</v>
      </c>
      <c r="H986">
        <f>COUNTIFS(E:E,E986,A:A,A986,D:D,D986)</f>
        <v>1</v>
      </c>
      <c r="I986" t="e">
        <f>SUMIF([1]Mapeamento!$J:$J,A986,[1]Mapeamento!$L:$L)</f>
        <v>#VALUE!</v>
      </c>
      <c r="J986" s="1" t="e">
        <f>SUMIF('[1]Map_Meso-Ox'!$C:$C,A986,'[1]Map_Meso-Ox'!$D:$D)</f>
        <v>#VALUE!</v>
      </c>
      <c r="K986" s="2" t="e">
        <f t="shared" si="30"/>
        <v>#VALUE!</v>
      </c>
      <c r="L986" s="1" t="e">
        <f>SUMIF('[1]Map_Meso-Ox'!$C:$C,A986,'[1]Map_Meso-Ox'!$E:$E)</f>
        <v>#VALUE!</v>
      </c>
      <c r="M986" s="2" t="e">
        <f t="shared" si="31"/>
        <v>#VALUE!</v>
      </c>
    </row>
    <row r="987" spans="1:13" x14ac:dyDescent="0.25">
      <c r="A987">
        <v>106</v>
      </c>
      <c r="B987">
        <v>3</v>
      </c>
      <c r="C987">
        <v>49.920999999999999</v>
      </c>
      <c r="D987">
        <v>0</v>
      </c>
      <c r="E987" t="s">
        <v>21</v>
      </c>
      <c r="F987">
        <v>2</v>
      </c>
      <c r="G987">
        <f>COUNTIF(E:E,E987)</f>
        <v>110</v>
      </c>
      <c r="H987">
        <f>COUNTIFS(E:E,E987,A:A,A987,D:D,D987)</f>
        <v>1</v>
      </c>
      <c r="I987" t="e">
        <f>SUMIF([1]Mapeamento!$J:$J,A987,[1]Mapeamento!$L:$L)</f>
        <v>#VALUE!</v>
      </c>
      <c r="J987" s="1" t="e">
        <f>SUMIF('[1]Map_Meso-Ox'!$C:$C,A987,'[1]Map_Meso-Ox'!$D:$D)</f>
        <v>#VALUE!</v>
      </c>
      <c r="K987" s="2" t="e">
        <f t="shared" si="30"/>
        <v>#VALUE!</v>
      </c>
      <c r="L987" s="1" t="e">
        <f>SUMIF('[1]Map_Meso-Ox'!$C:$C,A987,'[1]Map_Meso-Ox'!$E:$E)</f>
        <v>#VALUE!</v>
      </c>
      <c r="M987" s="2" t="e">
        <f t="shared" si="31"/>
        <v>#VALUE!</v>
      </c>
    </row>
    <row r="988" spans="1:13" x14ac:dyDescent="0.25">
      <c r="A988">
        <v>107</v>
      </c>
      <c r="B988">
        <v>3</v>
      </c>
      <c r="C988">
        <v>50.677999999999997</v>
      </c>
      <c r="D988">
        <v>0</v>
      </c>
      <c r="E988" t="s">
        <v>21</v>
      </c>
      <c r="F988">
        <v>1</v>
      </c>
      <c r="G988">
        <f>COUNTIF(E:E,E988)</f>
        <v>110</v>
      </c>
      <c r="H988">
        <f>COUNTIFS(E:E,E988,A:A,A988,D:D,D988)</f>
        <v>1</v>
      </c>
      <c r="I988" t="e">
        <f>SUMIF([1]Mapeamento!$J:$J,A988,[1]Mapeamento!$L:$L)</f>
        <v>#VALUE!</v>
      </c>
      <c r="J988" s="1" t="e">
        <f>SUMIF('[1]Map_Meso-Ox'!$C:$C,A988,'[1]Map_Meso-Ox'!$D:$D)</f>
        <v>#VALUE!</v>
      </c>
      <c r="K988" s="2" t="e">
        <f t="shared" si="30"/>
        <v>#VALUE!</v>
      </c>
      <c r="L988" s="1" t="e">
        <f>SUMIF('[1]Map_Meso-Ox'!$C:$C,A988,'[1]Map_Meso-Ox'!$E:$E)</f>
        <v>#VALUE!</v>
      </c>
      <c r="M988" s="2" t="e">
        <f t="shared" si="31"/>
        <v>#VALUE!</v>
      </c>
    </row>
    <row r="989" spans="1:13" x14ac:dyDescent="0.25">
      <c r="A989">
        <v>108</v>
      </c>
      <c r="B989">
        <v>3</v>
      </c>
      <c r="C989">
        <v>63.253999999999998</v>
      </c>
      <c r="D989">
        <v>0</v>
      </c>
      <c r="E989" t="s">
        <v>21</v>
      </c>
      <c r="F989">
        <v>1</v>
      </c>
      <c r="G989">
        <f>COUNTIF(E:E,E989)</f>
        <v>110</v>
      </c>
      <c r="H989">
        <f>COUNTIFS(E:E,E989,A:A,A989,D:D,D989)</f>
        <v>1</v>
      </c>
      <c r="I989" t="e">
        <f>SUMIF([1]Mapeamento!$J:$J,A989,[1]Mapeamento!$L:$L)</f>
        <v>#VALUE!</v>
      </c>
      <c r="J989" s="1" t="e">
        <f>SUMIF('[1]Map_Meso-Ox'!$C:$C,A989,'[1]Map_Meso-Ox'!$D:$D)</f>
        <v>#VALUE!</v>
      </c>
      <c r="K989" s="2" t="e">
        <f t="shared" si="30"/>
        <v>#VALUE!</v>
      </c>
      <c r="L989" s="1" t="e">
        <f>SUMIF('[1]Map_Meso-Ox'!$C:$C,A989,'[1]Map_Meso-Ox'!$E:$E)</f>
        <v>#VALUE!</v>
      </c>
      <c r="M989" s="2" t="e">
        <f t="shared" si="31"/>
        <v>#VALUE!</v>
      </c>
    </row>
    <row r="990" spans="1:13" x14ac:dyDescent="0.25">
      <c r="A990">
        <v>109</v>
      </c>
      <c r="B990">
        <v>3</v>
      </c>
      <c r="C990">
        <v>42.448999999999998</v>
      </c>
      <c r="D990">
        <v>1E-4</v>
      </c>
      <c r="E990" t="s">
        <v>21</v>
      </c>
      <c r="F990">
        <v>1</v>
      </c>
      <c r="G990">
        <f>COUNTIF(E:E,E990)</f>
        <v>110</v>
      </c>
      <c r="H990">
        <f>COUNTIFS(E:E,E990,A:A,A990,D:D,D990)</f>
        <v>1</v>
      </c>
      <c r="I990" t="e">
        <f>SUMIF([1]Mapeamento!$J:$J,A990,[1]Mapeamento!$L:$L)</f>
        <v>#VALUE!</v>
      </c>
      <c r="J990" s="1" t="e">
        <f>SUMIF('[1]Map_Meso-Ox'!$C:$C,A990,'[1]Map_Meso-Ox'!$D:$D)</f>
        <v>#VALUE!</v>
      </c>
      <c r="K990" s="2" t="e">
        <f t="shared" si="30"/>
        <v>#VALUE!</v>
      </c>
      <c r="L990" s="1" t="e">
        <f>SUMIF('[1]Map_Meso-Ox'!$C:$C,A990,'[1]Map_Meso-Ox'!$E:$E)</f>
        <v>#VALUE!</v>
      </c>
      <c r="M990" s="2" t="e">
        <f t="shared" si="31"/>
        <v>#VALUE!</v>
      </c>
    </row>
    <row r="991" spans="1:13" x14ac:dyDescent="0.25">
      <c r="A991">
        <v>110</v>
      </c>
      <c r="B991">
        <v>3</v>
      </c>
      <c r="C991">
        <v>75.619</v>
      </c>
      <c r="D991">
        <v>0</v>
      </c>
      <c r="E991" t="s">
        <v>21</v>
      </c>
      <c r="F991">
        <v>2</v>
      </c>
      <c r="G991">
        <f>COUNTIF(E:E,E991)</f>
        <v>110</v>
      </c>
      <c r="H991">
        <f>COUNTIFS(E:E,E991,A:A,A991,D:D,D991)</f>
        <v>1</v>
      </c>
      <c r="I991" t="e">
        <f>SUMIF([1]Mapeamento!$J:$J,A991,[1]Mapeamento!$L:$L)</f>
        <v>#VALUE!</v>
      </c>
      <c r="J991" s="1" t="e">
        <f>SUMIF('[1]Map_Meso-Ox'!$C:$C,A991,'[1]Map_Meso-Ox'!$D:$D)</f>
        <v>#VALUE!</v>
      </c>
      <c r="K991" s="2" t="e">
        <f t="shared" si="30"/>
        <v>#VALUE!</v>
      </c>
      <c r="L991" s="1" t="e">
        <f>SUMIF('[1]Map_Meso-Ox'!$C:$C,A991,'[1]Map_Meso-Ox'!$E:$E)</f>
        <v>#VALUE!</v>
      </c>
      <c r="M991" s="2" t="e">
        <f t="shared" si="31"/>
        <v>#VALUE!</v>
      </c>
    </row>
    <row r="992" spans="1:13" x14ac:dyDescent="0.25">
      <c r="A992">
        <v>1</v>
      </c>
      <c r="B992">
        <v>3</v>
      </c>
      <c r="C992">
        <v>74.38</v>
      </c>
      <c r="D992">
        <v>0</v>
      </c>
      <c r="E992" t="s">
        <v>22</v>
      </c>
      <c r="F992">
        <v>2</v>
      </c>
      <c r="G992">
        <f>COUNTIF(E:E,E992)</f>
        <v>110</v>
      </c>
      <c r="H992">
        <f>COUNTIFS(E:E,E992,A:A,A992,D:D,D992)</f>
        <v>1</v>
      </c>
      <c r="I992" t="e">
        <f>SUMIF([1]Mapeamento!$J:$J,A992,[1]Mapeamento!$L:$L)</f>
        <v>#VALUE!</v>
      </c>
      <c r="J992" s="1" t="e">
        <f>SUMIF('[1]Map_Meso-Ox'!$C:$C,A992,'[1]Map_Meso-Ox'!$D:$D)</f>
        <v>#VALUE!</v>
      </c>
      <c r="K992" s="2" t="e">
        <f t="shared" ref="K992:K1055" si="32">J992/203401269</f>
        <v>#VALUE!</v>
      </c>
      <c r="L992" s="1" t="e">
        <f>SUMIF('[1]Map_Meso-Ox'!$C:$C,A992,'[1]Map_Meso-Ox'!$E:$E)</f>
        <v>#VALUE!</v>
      </c>
      <c r="M992" s="2" t="e">
        <f t="shared" ref="M992:M1055" si="33">L992/3868725997.715</f>
        <v>#VALUE!</v>
      </c>
    </row>
    <row r="993" spans="1:13" x14ac:dyDescent="0.25">
      <c r="A993">
        <v>2</v>
      </c>
      <c r="B993">
        <v>3</v>
      </c>
      <c r="C993">
        <v>55.118000000000002</v>
      </c>
      <c r="D993">
        <v>0</v>
      </c>
      <c r="E993" t="s">
        <v>22</v>
      </c>
      <c r="F993">
        <v>2</v>
      </c>
      <c r="G993">
        <f>COUNTIF(E:E,E993)</f>
        <v>110</v>
      </c>
      <c r="H993">
        <f>COUNTIFS(E:E,E993,A:A,A993,D:D,D993)</f>
        <v>1</v>
      </c>
      <c r="I993" t="e">
        <f>SUMIF([1]Mapeamento!$J:$J,A993,[1]Mapeamento!$L:$L)</f>
        <v>#VALUE!</v>
      </c>
      <c r="J993" s="1" t="e">
        <f>SUMIF('[1]Map_Meso-Ox'!$C:$C,A993,'[1]Map_Meso-Ox'!$D:$D)</f>
        <v>#VALUE!</v>
      </c>
      <c r="K993" s="2" t="e">
        <f t="shared" si="32"/>
        <v>#VALUE!</v>
      </c>
      <c r="L993" s="1" t="e">
        <f>SUMIF('[1]Map_Meso-Ox'!$C:$C,A993,'[1]Map_Meso-Ox'!$E:$E)</f>
        <v>#VALUE!</v>
      </c>
      <c r="M993" s="2" t="e">
        <f t="shared" si="33"/>
        <v>#VALUE!</v>
      </c>
    </row>
    <row r="994" spans="1:13" x14ac:dyDescent="0.25">
      <c r="A994">
        <v>3</v>
      </c>
      <c r="B994">
        <v>3</v>
      </c>
      <c r="C994">
        <v>51.316000000000003</v>
      </c>
      <c r="D994">
        <v>0</v>
      </c>
      <c r="E994" t="s">
        <v>22</v>
      </c>
      <c r="F994">
        <v>1</v>
      </c>
      <c r="G994">
        <f>COUNTIF(E:E,E994)</f>
        <v>110</v>
      </c>
      <c r="H994">
        <f>COUNTIFS(E:E,E994,A:A,A994,D:D,D994)</f>
        <v>1</v>
      </c>
      <c r="I994" t="e">
        <f>SUMIF([1]Mapeamento!$J:$J,A994,[1]Mapeamento!$L:$L)</f>
        <v>#VALUE!</v>
      </c>
      <c r="J994" s="1" t="e">
        <f>SUMIF('[1]Map_Meso-Ox'!$C:$C,A994,'[1]Map_Meso-Ox'!$D:$D)</f>
        <v>#VALUE!</v>
      </c>
      <c r="K994" s="2" t="e">
        <f t="shared" si="32"/>
        <v>#VALUE!</v>
      </c>
      <c r="L994" s="1" t="e">
        <f>SUMIF('[1]Map_Meso-Ox'!$C:$C,A994,'[1]Map_Meso-Ox'!$E:$E)</f>
        <v>#VALUE!</v>
      </c>
      <c r="M994" s="2" t="e">
        <f t="shared" si="33"/>
        <v>#VALUE!</v>
      </c>
    </row>
    <row r="995" spans="1:13" x14ac:dyDescent="0.25">
      <c r="A995">
        <v>4</v>
      </c>
      <c r="B995">
        <v>3</v>
      </c>
      <c r="C995">
        <v>76.162999999999997</v>
      </c>
      <c r="D995">
        <v>0</v>
      </c>
      <c r="E995" t="s">
        <v>22</v>
      </c>
      <c r="F995">
        <v>1</v>
      </c>
      <c r="G995">
        <f>COUNTIF(E:E,E995)</f>
        <v>110</v>
      </c>
      <c r="H995">
        <f>COUNTIFS(E:E,E995,A:A,A995,D:D,D995)</f>
        <v>1</v>
      </c>
      <c r="I995" t="e">
        <f>SUMIF([1]Mapeamento!$J:$J,A995,[1]Mapeamento!$L:$L)</f>
        <v>#VALUE!</v>
      </c>
      <c r="J995" s="1" t="e">
        <f>SUMIF('[1]Map_Meso-Ox'!$C:$C,A995,'[1]Map_Meso-Ox'!$D:$D)</f>
        <v>#VALUE!</v>
      </c>
      <c r="K995" s="2" t="e">
        <f t="shared" si="32"/>
        <v>#VALUE!</v>
      </c>
      <c r="L995" s="1" t="e">
        <f>SUMIF('[1]Map_Meso-Ox'!$C:$C,A995,'[1]Map_Meso-Ox'!$E:$E)</f>
        <v>#VALUE!</v>
      </c>
      <c r="M995" s="2" t="e">
        <f t="shared" si="33"/>
        <v>#VALUE!</v>
      </c>
    </row>
    <row r="996" spans="1:13" x14ac:dyDescent="0.25">
      <c r="A996">
        <v>5</v>
      </c>
      <c r="B996">
        <v>3</v>
      </c>
      <c r="C996">
        <v>38.220999999999997</v>
      </c>
      <c r="D996">
        <v>1E-4</v>
      </c>
      <c r="E996" t="s">
        <v>22</v>
      </c>
      <c r="F996">
        <v>0</v>
      </c>
      <c r="G996">
        <f>COUNTIF(E:E,E996)</f>
        <v>110</v>
      </c>
      <c r="H996">
        <f>COUNTIFS(E:E,E996,A:A,A996,D:D,D996)</f>
        <v>1</v>
      </c>
      <c r="I996" t="e">
        <f>SUMIF([1]Mapeamento!$J:$J,A996,[1]Mapeamento!$L:$L)</f>
        <v>#VALUE!</v>
      </c>
      <c r="J996" s="1" t="e">
        <f>SUMIF('[1]Map_Meso-Ox'!$C:$C,A996,'[1]Map_Meso-Ox'!$D:$D)</f>
        <v>#VALUE!</v>
      </c>
      <c r="K996" s="2" t="e">
        <f t="shared" si="32"/>
        <v>#VALUE!</v>
      </c>
      <c r="L996" s="1" t="e">
        <f>SUMIF('[1]Map_Meso-Ox'!$C:$C,A996,'[1]Map_Meso-Ox'!$E:$E)</f>
        <v>#VALUE!</v>
      </c>
      <c r="M996" s="2" t="e">
        <f t="shared" si="33"/>
        <v>#VALUE!</v>
      </c>
    </row>
    <row r="997" spans="1:13" x14ac:dyDescent="0.25">
      <c r="A997">
        <v>6</v>
      </c>
      <c r="B997">
        <v>3</v>
      </c>
      <c r="C997">
        <v>49.109000000000002</v>
      </c>
      <c r="D997">
        <v>0</v>
      </c>
      <c r="E997" t="s">
        <v>22</v>
      </c>
      <c r="F997">
        <v>1</v>
      </c>
      <c r="G997">
        <f>COUNTIF(E:E,E997)</f>
        <v>110</v>
      </c>
      <c r="H997">
        <f>COUNTIFS(E:E,E997,A:A,A997,D:D,D997)</f>
        <v>1</v>
      </c>
      <c r="I997" t="e">
        <f>SUMIF([1]Mapeamento!$J:$J,A997,[1]Mapeamento!$L:$L)</f>
        <v>#VALUE!</v>
      </c>
      <c r="J997" s="1" t="e">
        <f>SUMIF('[1]Map_Meso-Ox'!$C:$C,A997,'[1]Map_Meso-Ox'!$D:$D)</f>
        <v>#VALUE!</v>
      </c>
      <c r="K997" s="2" t="e">
        <f t="shared" si="32"/>
        <v>#VALUE!</v>
      </c>
      <c r="L997" s="1" t="e">
        <f>SUMIF('[1]Map_Meso-Ox'!$C:$C,A997,'[1]Map_Meso-Ox'!$E:$E)</f>
        <v>#VALUE!</v>
      </c>
      <c r="M997" s="2" t="e">
        <f t="shared" si="33"/>
        <v>#VALUE!</v>
      </c>
    </row>
    <row r="998" spans="1:13" x14ac:dyDescent="0.25">
      <c r="A998">
        <v>7</v>
      </c>
      <c r="B998">
        <v>3</v>
      </c>
      <c r="C998">
        <v>37.908999999999999</v>
      </c>
      <c r="D998">
        <v>2.0000000000000001E-4</v>
      </c>
      <c r="E998" t="s">
        <v>22</v>
      </c>
      <c r="F998">
        <v>1</v>
      </c>
      <c r="G998">
        <f>COUNTIF(E:E,E998)</f>
        <v>110</v>
      </c>
      <c r="H998">
        <f>COUNTIFS(E:E,E998,A:A,A998,D:D,D998)</f>
        <v>1</v>
      </c>
      <c r="I998" t="e">
        <f>SUMIF([1]Mapeamento!$J:$J,A998,[1]Mapeamento!$L:$L)</f>
        <v>#VALUE!</v>
      </c>
      <c r="J998" s="1" t="e">
        <f>SUMIF('[1]Map_Meso-Ox'!$C:$C,A998,'[1]Map_Meso-Ox'!$D:$D)</f>
        <v>#VALUE!</v>
      </c>
      <c r="K998" s="2" t="e">
        <f t="shared" si="32"/>
        <v>#VALUE!</v>
      </c>
      <c r="L998" s="1" t="e">
        <f>SUMIF('[1]Map_Meso-Ox'!$C:$C,A998,'[1]Map_Meso-Ox'!$E:$E)</f>
        <v>#VALUE!</v>
      </c>
      <c r="M998" s="2" t="e">
        <f t="shared" si="33"/>
        <v>#VALUE!</v>
      </c>
    </row>
    <row r="999" spans="1:13" x14ac:dyDescent="0.25">
      <c r="A999">
        <v>8</v>
      </c>
      <c r="B999">
        <v>3</v>
      </c>
      <c r="C999">
        <v>40.683</v>
      </c>
      <c r="D999">
        <v>1E-4</v>
      </c>
      <c r="E999" t="s">
        <v>22</v>
      </c>
      <c r="F999">
        <v>0</v>
      </c>
      <c r="G999">
        <f>COUNTIF(E:E,E999)</f>
        <v>110</v>
      </c>
      <c r="H999">
        <f>COUNTIFS(E:E,E999,A:A,A999,D:D,D999)</f>
        <v>1</v>
      </c>
      <c r="I999" t="e">
        <f>SUMIF([1]Mapeamento!$J:$J,A999,[1]Mapeamento!$L:$L)</f>
        <v>#VALUE!</v>
      </c>
      <c r="J999" s="1" t="e">
        <f>SUMIF('[1]Map_Meso-Ox'!$C:$C,A999,'[1]Map_Meso-Ox'!$D:$D)</f>
        <v>#VALUE!</v>
      </c>
      <c r="K999" s="2" t="e">
        <f t="shared" si="32"/>
        <v>#VALUE!</v>
      </c>
      <c r="L999" s="1" t="e">
        <f>SUMIF('[1]Map_Meso-Ox'!$C:$C,A999,'[1]Map_Meso-Ox'!$E:$E)</f>
        <v>#VALUE!</v>
      </c>
      <c r="M999" s="2" t="e">
        <f t="shared" si="33"/>
        <v>#VALUE!</v>
      </c>
    </row>
    <row r="1000" spans="1:13" x14ac:dyDescent="0.25">
      <c r="A1000">
        <v>9</v>
      </c>
      <c r="B1000">
        <v>3</v>
      </c>
      <c r="C1000">
        <v>32.07</v>
      </c>
      <c r="D1000">
        <v>1.2999999999999999E-3</v>
      </c>
      <c r="E1000" t="s">
        <v>22</v>
      </c>
      <c r="F1000">
        <v>0</v>
      </c>
      <c r="G1000">
        <f>COUNTIF(E:E,E1000)</f>
        <v>110</v>
      </c>
      <c r="H1000">
        <f>COUNTIFS(E:E,E1000,A:A,A1000,D:D,D1000)</f>
        <v>1</v>
      </c>
      <c r="I1000" t="e">
        <f>SUMIF([1]Mapeamento!$J:$J,A1000,[1]Mapeamento!$L:$L)</f>
        <v>#VALUE!</v>
      </c>
      <c r="J1000" s="1" t="e">
        <f>SUMIF('[1]Map_Meso-Ox'!$C:$C,A1000,'[1]Map_Meso-Ox'!$D:$D)</f>
        <v>#VALUE!</v>
      </c>
      <c r="K1000" s="2" t="e">
        <f t="shared" si="32"/>
        <v>#VALUE!</v>
      </c>
      <c r="L1000" s="1" t="e">
        <f>SUMIF('[1]Map_Meso-Ox'!$C:$C,A1000,'[1]Map_Meso-Ox'!$E:$E)</f>
        <v>#VALUE!</v>
      </c>
      <c r="M1000" s="2" t="e">
        <f t="shared" si="33"/>
        <v>#VALUE!</v>
      </c>
    </row>
    <row r="1001" spans="1:13" x14ac:dyDescent="0.25">
      <c r="A1001">
        <v>10</v>
      </c>
      <c r="B1001">
        <v>3</v>
      </c>
      <c r="C1001">
        <v>40.96</v>
      </c>
      <c r="D1001">
        <v>0</v>
      </c>
      <c r="E1001" t="s">
        <v>22</v>
      </c>
      <c r="F1001">
        <v>0</v>
      </c>
      <c r="G1001">
        <f>COUNTIF(E:E,E1001)</f>
        <v>110</v>
      </c>
      <c r="H1001">
        <f>COUNTIFS(E:E,E1001,A:A,A1001,D:D,D1001)</f>
        <v>1</v>
      </c>
      <c r="I1001" t="e">
        <f>SUMIF([1]Mapeamento!$J:$J,A1001,[1]Mapeamento!$L:$L)</f>
        <v>#VALUE!</v>
      </c>
      <c r="J1001" s="1" t="e">
        <f>SUMIF('[1]Map_Meso-Ox'!$C:$C,A1001,'[1]Map_Meso-Ox'!$D:$D)</f>
        <v>#VALUE!</v>
      </c>
      <c r="K1001" s="2" t="e">
        <f t="shared" si="32"/>
        <v>#VALUE!</v>
      </c>
      <c r="L1001" s="1" t="e">
        <f>SUMIF('[1]Map_Meso-Ox'!$C:$C,A1001,'[1]Map_Meso-Ox'!$E:$E)</f>
        <v>#VALUE!</v>
      </c>
      <c r="M1001" s="2" t="e">
        <f t="shared" si="33"/>
        <v>#VALUE!</v>
      </c>
    </row>
    <row r="1002" spans="1:13" x14ac:dyDescent="0.25">
      <c r="A1002">
        <v>11</v>
      </c>
      <c r="B1002">
        <v>3</v>
      </c>
      <c r="C1002">
        <v>41.886000000000003</v>
      </c>
      <c r="D1002">
        <v>0</v>
      </c>
      <c r="E1002" t="s">
        <v>22</v>
      </c>
      <c r="F1002">
        <v>0</v>
      </c>
      <c r="G1002">
        <f>COUNTIF(E:E,E1002)</f>
        <v>110</v>
      </c>
      <c r="H1002">
        <f>COUNTIFS(E:E,E1002,A:A,A1002,D:D,D1002)</f>
        <v>1</v>
      </c>
      <c r="I1002" t="e">
        <f>SUMIF([1]Mapeamento!$J:$J,A1002,[1]Mapeamento!$L:$L)</f>
        <v>#VALUE!</v>
      </c>
      <c r="J1002" s="1" t="e">
        <f>SUMIF('[1]Map_Meso-Ox'!$C:$C,A1002,'[1]Map_Meso-Ox'!$D:$D)</f>
        <v>#VALUE!</v>
      </c>
      <c r="K1002" s="2" t="e">
        <f t="shared" si="32"/>
        <v>#VALUE!</v>
      </c>
      <c r="L1002" s="1" t="e">
        <f>SUMIF('[1]Map_Meso-Ox'!$C:$C,A1002,'[1]Map_Meso-Ox'!$E:$E)</f>
        <v>#VALUE!</v>
      </c>
      <c r="M1002" s="2" t="e">
        <f t="shared" si="33"/>
        <v>#VALUE!</v>
      </c>
    </row>
    <row r="1003" spans="1:13" x14ac:dyDescent="0.25">
      <c r="A1003">
        <v>12</v>
      </c>
      <c r="B1003">
        <v>3</v>
      </c>
      <c r="C1003">
        <v>54.442</v>
      </c>
      <c r="D1003">
        <v>0</v>
      </c>
      <c r="E1003" t="s">
        <v>22</v>
      </c>
      <c r="F1003">
        <v>1</v>
      </c>
      <c r="G1003">
        <f>COUNTIF(E:E,E1003)</f>
        <v>110</v>
      </c>
      <c r="H1003">
        <f>COUNTIFS(E:E,E1003,A:A,A1003,D:D,D1003)</f>
        <v>1</v>
      </c>
      <c r="I1003" t="e">
        <f>SUMIF([1]Mapeamento!$J:$J,A1003,[1]Mapeamento!$L:$L)</f>
        <v>#VALUE!</v>
      </c>
      <c r="J1003" s="1" t="e">
        <f>SUMIF('[1]Map_Meso-Ox'!$C:$C,A1003,'[1]Map_Meso-Ox'!$D:$D)</f>
        <v>#VALUE!</v>
      </c>
      <c r="K1003" s="2" t="e">
        <f t="shared" si="32"/>
        <v>#VALUE!</v>
      </c>
      <c r="L1003" s="1" t="e">
        <f>SUMIF('[1]Map_Meso-Ox'!$C:$C,A1003,'[1]Map_Meso-Ox'!$E:$E)</f>
        <v>#VALUE!</v>
      </c>
      <c r="M1003" s="2" t="e">
        <f t="shared" si="33"/>
        <v>#VALUE!</v>
      </c>
    </row>
    <row r="1004" spans="1:13" x14ac:dyDescent="0.25">
      <c r="A1004">
        <v>13</v>
      </c>
      <c r="B1004">
        <v>3</v>
      </c>
      <c r="C1004">
        <v>68.11</v>
      </c>
      <c r="D1004">
        <v>0</v>
      </c>
      <c r="E1004" t="s">
        <v>22</v>
      </c>
      <c r="F1004">
        <v>1</v>
      </c>
      <c r="G1004">
        <f>COUNTIF(E:E,E1004)</f>
        <v>110</v>
      </c>
      <c r="H1004">
        <f>COUNTIFS(E:E,E1004,A:A,A1004,D:D,D1004)</f>
        <v>1</v>
      </c>
      <c r="I1004" t="e">
        <f>SUMIF([1]Mapeamento!$J:$J,A1004,[1]Mapeamento!$L:$L)</f>
        <v>#VALUE!</v>
      </c>
      <c r="J1004" s="1" t="e">
        <f>SUMIF('[1]Map_Meso-Ox'!$C:$C,A1004,'[1]Map_Meso-Ox'!$D:$D)</f>
        <v>#VALUE!</v>
      </c>
      <c r="K1004" s="2" t="e">
        <f t="shared" si="32"/>
        <v>#VALUE!</v>
      </c>
      <c r="L1004" s="1" t="e">
        <f>SUMIF('[1]Map_Meso-Ox'!$C:$C,A1004,'[1]Map_Meso-Ox'!$E:$E)</f>
        <v>#VALUE!</v>
      </c>
      <c r="M1004" s="2" t="e">
        <f t="shared" si="33"/>
        <v>#VALUE!</v>
      </c>
    </row>
    <row r="1005" spans="1:13" x14ac:dyDescent="0.25">
      <c r="A1005">
        <v>14</v>
      </c>
      <c r="B1005">
        <v>3</v>
      </c>
      <c r="C1005">
        <v>63.546999999999997</v>
      </c>
      <c r="D1005">
        <v>0</v>
      </c>
      <c r="E1005" t="s">
        <v>22</v>
      </c>
      <c r="F1005">
        <v>1</v>
      </c>
      <c r="G1005">
        <f>COUNTIF(E:E,E1005)</f>
        <v>110</v>
      </c>
      <c r="H1005">
        <f>COUNTIFS(E:E,E1005,A:A,A1005,D:D,D1005)</f>
        <v>1</v>
      </c>
      <c r="I1005" t="e">
        <f>SUMIF([1]Mapeamento!$J:$J,A1005,[1]Mapeamento!$L:$L)</f>
        <v>#VALUE!</v>
      </c>
      <c r="J1005" s="1" t="e">
        <f>SUMIF('[1]Map_Meso-Ox'!$C:$C,A1005,'[1]Map_Meso-Ox'!$D:$D)</f>
        <v>#VALUE!</v>
      </c>
      <c r="K1005" s="2" t="e">
        <f t="shared" si="32"/>
        <v>#VALUE!</v>
      </c>
      <c r="L1005" s="1" t="e">
        <f>SUMIF('[1]Map_Meso-Ox'!$C:$C,A1005,'[1]Map_Meso-Ox'!$E:$E)</f>
        <v>#VALUE!</v>
      </c>
      <c r="M1005" s="2" t="e">
        <f t="shared" si="33"/>
        <v>#VALUE!</v>
      </c>
    </row>
    <row r="1006" spans="1:13" x14ac:dyDescent="0.25">
      <c r="A1006">
        <v>15</v>
      </c>
      <c r="B1006">
        <v>3</v>
      </c>
      <c r="C1006">
        <v>42.405000000000001</v>
      </c>
      <c r="D1006">
        <v>0</v>
      </c>
      <c r="E1006" t="s">
        <v>22</v>
      </c>
      <c r="F1006">
        <v>0</v>
      </c>
      <c r="G1006">
        <f>COUNTIF(E:E,E1006)</f>
        <v>110</v>
      </c>
      <c r="H1006">
        <f>COUNTIFS(E:E,E1006,A:A,A1006,D:D,D1006)</f>
        <v>1</v>
      </c>
      <c r="I1006" t="e">
        <f>SUMIF([1]Mapeamento!$J:$J,A1006,[1]Mapeamento!$L:$L)</f>
        <v>#VALUE!</v>
      </c>
      <c r="J1006" s="1" t="e">
        <f>SUMIF('[1]Map_Meso-Ox'!$C:$C,A1006,'[1]Map_Meso-Ox'!$D:$D)</f>
        <v>#VALUE!</v>
      </c>
      <c r="K1006" s="2" t="e">
        <f t="shared" si="32"/>
        <v>#VALUE!</v>
      </c>
      <c r="L1006" s="1" t="e">
        <f>SUMIF('[1]Map_Meso-Ox'!$C:$C,A1006,'[1]Map_Meso-Ox'!$E:$E)</f>
        <v>#VALUE!</v>
      </c>
      <c r="M1006" s="2" t="e">
        <f t="shared" si="33"/>
        <v>#VALUE!</v>
      </c>
    </row>
    <row r="1007" spans="1:13" x14ac:dyDescent="0.25">
      <c r="A1007">
        <v>16</v>
      </c>
      <c r="B1007">
        <v>3</v>
      </c>
      <c r="C1007">
        <v>69.790000000000006</v>
      </c>
      <c r="D1007">
        <v>0</v>
      </c>
      <c r="E1007" t="s">
        <v>22</v>
      </c>
      <c r="F1007">
        <v>1</v>
      </c>
      <c r="G1007">
        <f>COUNTIF(E:E,E1007)</f>
        <v>110</v>
      </c>
      <c r="H1007">
        <f>COUNTIFS(E:E,E1007,A:A,A1007,D:D,D1007)</f>
        <v>1</v>
      </c>
      <c r="I1007" t="e">
        <f>SUMIF([1]Mapeamento!$J:$J,A1007,[1]Mapeamento!$L:$L)</f>
        <v>#VALUE!</v>
      </c>
      <c r="J1007" s="1" t="e">
        <f>SUMIF('[1]Map_Meso-Ox'!$C:$C,A1007,'[1]Map_Meso-Ox'!$D:$D)</f>
        <v>#VALUE!</v>
      </c>
      <c r="K1007" s="2" t="e">
        <f t="shared" si="32"/>
        <v>#VALUE!</v>
      </c>
      <c r="L1007" s="1" t="e">
        <f>SUMIF('[1]Map_Meso-Ox'!$C:$C,A1007,'[1]Map_Meso-Ox'!$E:$E)</f>
        <v>#VALUE!</v>
      </c>
      <c r="M1007" s="2" t="e">
        <f t="shared" si="33"/>
        <v>#VALUE!</v>
      </c>
    </row>
    <row r="1008" spans="1:13" x14ac:dyDescent="0.25">
      <c r="A1008">
        <v>17</v>
      </c>
      <c r="B1008">
        <v>3</v>
      </c>
      <c r="C1008">
        <v>56.642000000000003</v>
      </c>
      <c r="D1008">
        <v>0</v>
      </c>
      <c r="E1008" t="s">
        <v>22</v>
      </c>
      <c r="F1008">
        <v>3</v>
      </c>
      <c r="G1008">
        <f>COUNTIF(E:E,E1008)</f>
        <v>110</v>
      </c>
      <c r="H1008">
        <f>COUNTIFS(E:E,E1008,A:A,A1008,D:D,D1008)</f>
        <v>1</v>
      </c>
      <c r="I1008" t="e">
        <f>SUMIF([1]Mapeamento!$J:$J,A1008,[1]Mapeamento!$L:$L)</f>
        <v>#VALUE!</v>
      </c>
      <c r="J1008" s="1" t="e">
        <f>SUMIF('[1]Map_Meso-Ox'!$C:$C,A1008,'[1]Map_Meso-Ox'!$D:$D)</f>
        <v>#VALUE!</v>
      </c>
      <c r="K1008" s="2" t="e">
        <f t="shared" si="32"/>
        <v>#VALUE!</v>
      </c>
      <c r="L1008" s="1" t="e">
        <f>SUMIF('[1]Map_Meso-Ox'!$C:$C,A1008,'[1]Map_Meso-Ox'!$E:$E)</f>
        <v>#VALUE!</v>
      </c>
      <c r="M1008" s="2" t="e">
        <f t="shared" si="33"/>
        <v>#VALUE!</v>
      </c>
    </row>
    <row r="1009" spans="1:13" x14ac:dyDescent="0.25">
      <c r="A1009">
        <v>18</v>
      </c>
      <c r="B1009">
        <v>3</v>
      </c>
      <c r="C1009">
        <v>68.165999999999997</v>
      </c>
      <c r="D1009">
        <v>0</v>
      </c>
      <c r="E1009" t="s">
        <v>22</v>
      </c>
      <c r="F1009">
        <v>3</v>
      </c>
      <c r="G1009">
        <f>COUNTIF(E:E,E1009)</f>
        <v>110</v>
      </c>
      <c r="H1009">
        <f>COUNTIFS(E:E,E1009,A:A,A1009,D:D,D1009)</f>
        <v>1</v>
      </c>
      <c r="I1009" t="e">
        <f>SUMIF([1]Mapeamento!$J:$J,A1009,[1]Mapeamento!$L:$L)</f>
        <v>#VALUE!</v>
      </c>
      <c r="J1009" s="1" t="e">
        <f>SUMIF('[1]Map_Meso-Ox'!$C:$C,A1009,'[1]Map_Meso-Ox'!$D:$D)</f>
        <v>#VALUE!</v>
      </c>
      <c r="K1009" s="2" t="e">
        <f t="shared" si="32"/>
        <v>#VALUE!</v>
      </c>
      <c r="L1009" s="1" t="e">
        <f>SUMIF('[1]Map_Meso-Ox'!$C:$C,A1009,'[1]Map_Meso-Ox'!$E:$E)</f>
        <v>#VALUE!</v>
      </c>
      <c r="M1009" s="2" t="e">
        <f t="shared" si="33"/>
        <v>#VALUE!</v>
      </c>
    </row>
    <row r="1010" spans="1:13" x14ac:dyDescent="0.25">
      <c r="A1010">
        <v>19</v>
      </c>
      <c r="B1010">
        <v>3</v>
      </c>
      <c r="C1010">
        <v>78.759</v>
      </c>
      <c r="D1010">
        <v>0</v>
      </c>
      <c r="E1010" t="s">
        <v>22</v>
      </c>
      <c r="F1010">
        <v>2</v>
      </c>
      <c r="G1010">
        <f>COUNTIF(E:E,E1010)</f>
        <v>110</v>
      </c>
      <c r="H1010">
        <f>COUNTIFS(E:E,E1010,A:A,A1010,D:D,D1010)</f>
        <v>1</v>
      </c>
      <c r="I1010" t="e">
        <f>SUMIF([1]Mapeamento!$J:$J,A1010,[1]Mapeamento!$L:$L)</f>
        <v>#VALUE!</v>
      </c>
      <c r="J1010" s="1" t="e">
        <f>SUMIF('[1]Map_Meso-Ox'!$C:$C,A1010,'[1]Map_Meso-Ox'!$D:$D)</f>
        <v>#VALUE!</v>
      </c>
      <c r="K1010" s="2" t="e">
        <f t="shared" si="32"/>
        <v>#VALUE!</v>
      </c>
      <c r="L1010" s="1" t="e">
        <f>SUMIF('[1]Map_Meso-Ox'!$C:$C,A1010,'[1]Map_Meso-Ox'!$E:$E)</f>
        <v>#VALUE!</v>
      </c>
      <c r="M1010" s="2" t="e">
        <f t="shared" si="33"/>
        <v>#VALUE!</v>
      </c>
    </row>
    <row r="1011" spans="1:13" x14ac:dyDescent="0.25">
      <c r="A1011">
        <v>20</v>
      </c>
      <c r="B1011">
        <v>3</v>
      </c>
      <c r="C1011">
        <v>57.204999999999998</v>
      </c>
      <c r="D1011">
        <v>0</v>
      </c>
      <c r="E1011" t="s">
        <v>22</v>
      </c>
      <c r="F1011">
        <v>2</v>
      </c>
      <c r="G1011">
        <f>COUNTIF(E:E,E1011)</f>
        <v>110</v>
      </c>
      <c r="H1011">
        <f>COUNTIFS(E:E,E1011,A:A,A1011,D:D,D1011)</f>
        <v>1</v>
      </c>
      <c r="I1011" t="e">
        <f>SUMIF([1]Mapeamento!$J:$J,A1011,[1]Mapeamento!$L:$L)</f>
        <v>#VALUE!</v>
      </c>
      <c r="J1011" s="1" t="e">
        <f>SUMIF('[1]Map_Meso-Ox'!$C:$C,A1011,'[1]Map_Meso-Ox'!$D:$D)</f>
        <v>#VALUE!</v>
      </c>
      <c r="K1011" s="2" t="e">
        <f t="shared" si="32"/>
        <v>#VALUE!</v>
      </c>
      <c r="L1011" s="1" t="e">
        <f>SUMIF('[1]Map_Meso-Ox'!$C:$C,A1011,'[1]Map_Meso-Ox'!$E:$E)</f>
        <v>#VALUE!</v>
      </c>
      <c r="M1011" s="2" t="e">
        <f t="shared" si="33"/>
        <v>#VALUE!</v>
      </c>
    </row>
    <row r="1012" spans="1:13" x14ac:dyDescent="0.25">
      <c r="A1012">
        <v>21</v>
      </c>
      <c r="B1012">
        <v>3</v>
      </c>
      <c r="C1012">
        <v>66.343999999999994</v>
      </c>
      <c r="D1012">
        <v>0</v>
      </c>
      <c r="E1012" t="s">
        <v>22</v>
      </c>
      <c r="F1012">
        <v>2</v>
      </c>
      <c r="G1012">
        <f>COUNTIF(E:E,E1012)</f>
        <v>110</v>
      </c>
      <c r="H1012">
        <f>COUNTIFS(E:E,E1012,A:A,A1012,D:D,D1012)</f>
        <v>1</v>
      </c>
      <c r="I1012" t="e">
        <f>SUMIF([1]Mapeamento!$J:$J,A1012,[1]Mapeamento!$L:$L)</f>
        <v>#VALUE!</v>
      </c>
      <c r="J1012" s="1" t="e">
        <f>SUMIF('[1]Map_Meso-Ox'!$C:$C,A1012,'[1]Map_Meso-Ox'!$D:$D)</f>
        <v>#VALUE!</v>
      </c>
      <c r="K1012" s="2" t="e">
        <f t="shared" si="32"/>
        <v>#VALUE!</v>
      </c>
      <c r="L1012" s="1" t="e">
        <f>SUMIF('[1]Map_Meso-Ox'!$C:$C,A1012,'[1]Map_Meso-Ox'!$E:$E)</f>
        <v>#VALUE!</v>
      </c>
      <c r="M1012" s="2" t="e">
        <f t="shared" si="33"/>
        <v>#VALUE!</v>
      </c>
    </row>
    <row r="1013" spans="1:13" x14ac:dyDescent="0.25">
      <c r="A1013">
        <v>22</v>
      </c>
      <c r="B1013">
        <v>3</v>
      </c>
      <c r="C1013">
        <v>45.869</v>
      </c>
      <c r="D1013">
        <v>0</v>
      </c>
      <c r="E1013" t="s">
        <v>22</v>
      </c>
      <c r="F1013">
        <v>3</v>
      </c>
      <c r="G1013">
        <f>COUNTIF(E:E,E1013)</f>
        <v>110</v>
      </c>
      <c r="H1013">
        <f>COUNTIFS(E:E,E1013,A:A,A1013,D:D,D1013)</f>
        <v>1</v>
      </c>
      <c r="I1013" t="e">
        <f>SUMIF([1]Mapeamento!$J:$J,A1013,[1]Mapeamento!$L:$L)</f>
        <v>#VALUE!</v>
      </c>
      <c r="J1013" s="1" t="e">
        <f>SUMIF('[1]Map_Meso-Ox'!$C:$C,A1013,'[1]Map_Meso-Ox'!$D:$D)</f>
        <v>#VALUE!</v>
      </c>
      <c r="K1013" s="2" t="e">
        <f t="shared" si="32"/>
        <v>#VALUE!</v>
      </c>
      <c r="L1013" s="1" t="e">
        <f>SUMIF('[1]Map_Meso-Ox'!$C:$C,A1013,'[1]Map_Meso-Ox'!$E:$E)</f>
        <v>#VALUE!</v>
      </c>
      <c r="M1013" s="2" t="e">
        <f t="shared" si="33"/>
        <v>#VALUE!</v>
      </c>
    </row>
    <row r="1014" spans="1:13" x14ac:dyDescent="0.25">
      <c r="A1014">
        <v>23</v>
      </c>
      <c r="B1014">
        <v>3</v>
      </c>
      <c r="C1014">
        <v>61.841999999999999</v>
      </c>
      <c r="D1014">
        <v>0</v>
      </c>
      <c r="E1014" t="s">
        <v>22</v>
      </c>
      <c r="F1014">
        <v>1</v>
      </c>
      <c r="G1014">
        <f>COUNTIF(E:E,E1014)</f>
        <v>110</v>
      </c>
      <c r="H1014">
        <f>COUNTIFS(E:E,E1014,A:A,A1014,D:D,D1014)</f>
        <v>1</v>
      </c>
      <c r="I1014" t="e">
        <f>SUMIF([1]Mapeamento!$J:$J,A1014,[1]Mapeamento!$L:$L)</f>
        <v>#VALUE!</v>
      </c>
      <c r="J1014" s="1" t="e">
        <f>SUMIF('[1]Map_Meso-Ox'!$C:$C,A1014,'[1]Map_Meso-Ox'!$D:$D)</f>
        <v>#VALUE!</v>
      </c>
      <c r="K1014" s="2" t="e">
        <f t="shared" si="32"/>
        <v>#VALUE!</v>
      </c>
      <c r="L1014" s="1" t="e">
        <f>SUMIF('[1]Map_Meso-Ox'!$C:$C,A1014,'[1]Map_Meso-Ox'!$E:$E)</f>
        <v>#VALUE!</v>
      </c>
      <c r="M1014" s="2" t="e">
        <f t="shared" si="33"/>
        <v>#VALUE!</v>
      </c>
    </row>
    <row r="1015" spans="1:13" x14ac:dyDescent="0.25">
      <c r="A1015">
        <v>24</v>
      </c>
      <c r="B1015">
        <v>3</v>
      </c>
      <c r="C1015">
        <v>55.698</v>
      </c>
      <c r="D1015">
        <v>0</v>
      </c>
      <c r="E1015" t="s">
        <v>22</v>
      </c>
      <c r="F1015">
        <v>1</v>
      </c>
      <c r="G1015">
        <f>COUNTIF(E:E,E1015)</f>
        <v>110</v>
      </c>
      <c r="H1015">
        <f>COUNTIFS(E:E,E1015,A:A,A1015,D:D,D1015)</f>
        <v>1</v>
      </c>
      <c r="I1015" t="e">
        <f>SUMIF([1]Mapeamento!$J:$J,A1015,[1]Mapeamento!$L:$L)</f>
        <v>#VALUE!</v>
      </c>
      <c r="J1015" s="1" t="e">
        <f>SUMIF('[1]Map_Meso-Ox'!$C:$C,A1015,'[1]Map_Meso-Ox'!$D:$D)</f>
        <v>#VALUE!</v>
      </c>
      <c r="K1015" s="2" t="e">
        <f t="shared" si="32"/>
        <v>#VALUE!</v>
      </c>
      <c r="L1015" s="1" t="e">
        <f>SUMIF('[1]Map_Meso-Ox'!$C:$C,A1015,'[1]Map_Meso-Ox'!$E:$E)</f>
        <v>#VALUE!</v>
      </c>
      <c r="M1015" s="2" t="e">
        <f t="shared" si="33"/>
        <v>#VALUE!</v>
      </c>
    </row>
    <row r="1016" spans="1:13" x14ac:dyDescent="0.25">
      <c r="A1016">
        <v>25</v>
      </c>
      <c r="B1016">
        <v>3</v>
      </c>
      <c r="C1016">
        <v>44.94</v>
      </c>
      <c r="D1016">
        <v>0</v>
      </c>
      <c r="E1016" t="s">
        <v>22</v>
      </c>
      <c r="F1016">
        <v>1</v>
      </c>
      <c r="G1016">
        <f>COUNTIF(E:E,E1016)</f>
        <v>110</v>
      </c>
      <c r="H1016">
        <f>COUNTIFS(E:E,E1016,A:A,A1016,D:D,D1016)</f>
        <v>1</v>
      </c>
      <c r="I1016" t="e">
        <f>SUMIF([1]Mapeamento!$J:$J,A1016,[1]Mapeamento!$L:$L)</f>
        <v>#VALUE!</v>
      </c>
      <c r="J1016" s="1" t="e">
        <f>SUMIF('[1]Map_Meso-Ox'!$C:$C,A1016,'[1]Map_Meso-Ox'!$D:$D)</f>
        <v>#VALUE!</v>
      </c>
      <c r="K1016" s="2" t="e">
        <f t="shared" si="32"/>
        <v>#VALUE!</v>
      </c>
      <c r="L1016" s="1" t="e">
        <f>SUMIF('[1]Map_Meso-Ox'!$C:$C,A1016,'[1]Map_Meso-Ox'!$E:$E)</f>
        <v>#VALUE!</v>
      </c>
      <c r="M1016" s="2" t="e">
        <f t="shared" si="33"/>
        <v>#VALUE!</v>
      </c>
    </row>
    <row r="1017" spans="1:13" x14ac:dyDescent="0.25">
      <c r="A1017">
        <v>26</v>
      </c>
      <c r="B1017">
        <v>3</v>
      </c>
      <c r="C1017">
        <v>78.819000000000003</v>
      </c>
      <c r="D1017">
        <v>0</v>
      </c>
      <c r="E1017" t="s">
        <v>22</v>
      </c>
      <c r="F1017">
        <v>2</v>
      </c>
      <c r="G1017">
        <f>COUNTIF(E:E,E1017)</f>
        <v>110</v>
      </c>
      <c r="H1017">
        <f>COUNTIFS(E:E,E1017,A:A,A1017,D:D,D1017)</f>
        <v>1</v>
      </c>
      <c r="I1017" t="e">
        <f>SUMIF([1]Mapeamento!$J:$J,A1017,[1]Mapeamento!$L:$L)</f>
        <v>#VALUE!</v>
      </c>
      <c r="J1017" s="1" t="e">
        <f>SUMIF('[1]Map_Meso-Ox'!$C:$C,A1017,'[1]Map_Meso-Ox'!$D:$D)</f>
        <v>#VALUE!</v>
      </c>
      <c r="K1017" s="2" t="e">
        <f t="shared" si="32"/>
        <v>#VALUE!</v>
      </c>
      <c r="L1017" s="1" t="e">
        <f>SUMIF('[1]Map_Meso-Ox'!$C:$C,A1017,'[1]Map_Meso-Ox'!$E:$E)</f>
        <v>#VALUE!</v>
      </c>
      <c r="M1017" s="2" t="e">
        <f t="shared" si="33"/>
        <v>#VALUE!</v>
      </c>
    </row>
    <row r="1018" spans="1:13" x14ac:dyDescent="0.25">
      <c r="A1018">
        <v>27</v>
      </c>
      <c r="B1018">
        <v>3</v>
      </c>
      <c r="C1018">
        <v>48.722000000000001</v>
      </c>
      <c r="D1018">
        <v>0</v>
      </c>
      <c r="E1018" t="s">
        <v>22</v>
      </c>
      <c r="F1018">
        <v>0</v>
      </c>
      <c r="G1018">
        <f>COUNTIF(E:E,E1018)</f>
        <v>110</v>
      </c>
      <c r="H1018">
        <f>COUNTIFS(E:E,E1018,A:A,A1018,D:D,D1018)</f>
        <v>1</v>
      </c>
      <c r="I1018" t="e">
        <f>SUMIF([1]Mapeamento!$J:$J,A1018,[1]Mapeamento!$L:$L)</f>
        <v>#VALUE!</v>
      </c>
      <c r="J1018" s="1" t="e">
        <f>SUMIF('[1]Map_Meso-Ox'!$C:$C,A1018,'[1]Map_Meso-Ox'!$D:$D)</f>
        <v>#VALUE!</v>
      </c>
      <c r="K1018" s="2" t="e">
        <f t="shared" si="32"/>
        <v>#VALUE!</v>
      </c>
      <c r="L1018" s="1" t="e">
        <f>SUMIF('[1]Map_Meso-Ox'!$C:$C,A1018,'[1]Map_Meso-Ox'!$E:$E)</f>
        <v>#VALUE!</v>
      </c>
      <c r="M1018" s="2" t="e">
        <f t="shared" si="33"/>
        <v>#VALUE!</v>
      </c>
    </row>
    <row r="1019" spans="1:13" x14ac:dyDescent="0.25">
      <c r="A1019">
        <v>28</v>
      </c>
      <c r="B1019">
        <v>3</v>
      </c>
      <c r="C1019">
        <v>63.41</v>
      </c>
      <c r="D1019">
        <v>0</v>
      </c>
      <c r="E1019" t="s">
        <v>22</v>
      </c>
      <c r="F1019">
        <v>2</v>
      </c>
      <c r="G1019">
        <f>COUNTIF(E:E,E1019)</f>
        <v>110</v>
      </c>
      <c r="H1019">
        <f>COUNTIFS(E:E,E1019,A:A,A1019,D:D,D1019)</f>
        <v>1</v>
      </c>
      <c r="I1019" t="e">
        <f>SUMIF([1]Mapeamento!$J:$J,A1019,[1]Mapeamento!$L:$L)</f>
        <v>#VALUE!</v>
      </c>
      <c r="J1019" s="1" t="e">
        <f>SUMIF('[1]Map_Meso-Ox'!$C:$C,A1019,'[1]Map_Meso-Ox'!$D:$D)</f>
        <v>#VALUE!</v>
      </c>
      <c r="K1019" s="2" t="e">
        <f t="shared" si="32"/>
        <v>#VALUE!</v>
      </c>
      <c r="L1019" s="1" t="e">
        <f>SUMIF('[1]Map_Meso-Ox'!$C:$C,A1019,'[1]Map_Meso-Ox'!$E:$E)</f>
        <v>#VALUE!</v>
      </c>
      <c r="M1019" s="2" t="e">
        <f t="shared" si="33"/>
        <v>#VALUE!</v>
      </c>
    </row>
    <row r="1020" spans="1:13" x14ac:dyDescent="0.25">
      <c r="A1020">
        <v>29</v>
      </c>
      <c r="B1020">
        <v>3</v>
      </c>
      <c r="C1020">
        <v>61.558999999999997</v>
      </c>
      <c r="D1020">
        <v>0</v>
      </c>
      <c r="E1020" t="s">
        <v>22</v>
      </c>
      <c r="F1020">
        <v>1</v>
      </c>
      <c r="G1020">
        <f>COUNTIF(E:E,E1020)</f>
        <v>110</v>
      </c>
      <c r="H1020">
        <f>COUNTIFS(E:E,E1020,A:A,A1020,D:D,D1020)</f>
        <v>1</v>
      </c>
      <c r="I1020" t="e">
        <f>SUMIF([1]Mapeamento!$J:$J,A1020,[1]Mapeamento!$L:$L)</f>
        <v>#VALUE!</v>
      </c>
      <c r="J1020" s="1" t="e">
        <f>SUMIF('[1]Map_Meso-Ox'!$C:$C,A1020,'[1]Map_Meso-Ox'!$D:$D)</f>
        <v>#VALUE!</v>
      </c>
      <c r="K1020" s="2" t="e">
        <f t="shared" si="32"/>
        <v>#VALUE!</v>
      </c>
      <c r="L1020" s="1" t="e">
        <f>SUMIF('[1]Map_Meso-Ox'!$C:$C,A1020,'[1]Map_Meso-Ox'!$E:$E)</f>
        <v>#VALUE!</v>
      </c>
      <c r="M1020" s="2" t="e">
        <f t="shared" si="33"/>
        <v>#VALUE!</v>
      </c>
    </row>
    <row r="1021" spans="1:13" x14ac:dyDescent="0.25">
      <c r="A1021">
        <v>30</v>
      </c>
      <c r="B1021">
        <v>3</v>
      </c>
      <c r="C1021">
        <v>55.801000000000002</v>
      </c>
      <c r="D1021">
        <v>0</v>
      </c>
      <c r="E1021" t="s">
        <v>22</v>
      </c>
      <c r="F1021">
        <v>1</v>
      </c>
      <c r="G1021">
        <f>COUNTIF(E:E,E1021)</f>
        <v>110</v>
      </c>
      <c r="H1021">
        <f>COUNTIFS(E:E,E1021,A:A,A1021,D:D,D1021)</f>
        <v>1</v>
      </c>
      <c r="I1021" t="e">
        <f>SUMIF([1]Mapeamento!$J:$J,A1021,[1]Mapeamento!$L:$L)</f>
        <v>#VALUE!</v>
      </c>
      <c r="J1021" s="1" t="e">
        <f>SUMIF('[1]Map_Meso-Ox'!$C:$C,A1021,'[1]Map_Meso-Ox'!$D:$D)</f>
        <v>#VALUE!</v>
      </c>
      <c r="K1021" s="2" t="e">
        <f t="shared" si="32"/>
        <v>#VALUE!</v>
      </c>
      <c r="L1021" s="1" t="e">
        <f>SUMIF('[1]Map_Meso-Ox'!$C:$C,A1021,'[1]Map_Meso-Ox'!$E:$E)</f>
        <v>#VALUE!</v>
      </c>
      <c r="M1021" s="2" t="e">
        <f t="shared" si="33"/>
        <v>#VALUE!</v>
      </c>
    </row>
    <row r="1022" spans="1:13" x14ac:dyDescent="0.25">
      <c r="A1022">
        <v>31</v>
      </c>
      <c r="B1022">
        <v>3</v>
      </c>
      <c r="C1022">
        <v>76.894000000000005</v>
      </c>
      <c r="D1022">
        <v>0</v>
      </c>
      <c r="E1022" t="s">
        <v>22</v>
      </c>
      <c r="F1022">
        <v>1</v>
      </c>
      <c r="G1022">
        <f>COUNTIF(E:E,E1022)</f>
        <v>110</v>
      </c>
      <c r="H1022">
        <f>COUNTIFS(E:E,E1022,A:A,A1022,D:D,D1022)</f>
        <v>1</v>
      </c>
      <c r="I1022" t="e">
        <f>SUMIF([1]Mapeamento!$J:$J,A1022,[1]Mapeamento!$L:$L)</f>
        <v>#VALUE!</v>
      </c>
      <c r="J1022" s="1" t="e">
        <f>SUMIF('[1]Map_Meso-Ox'!$C:$C,A1022,'[1]Map_Meso-Ox'!$D:$D)</f>
        <v>#VALUE!</v>
      </c>
      <c r="K1022" s="2" t="e">
        <f t="shared" si="32"/>
        <v>#VALUE!</v>
      </c>
      <c r="L1022" s="1" t="e">
        <f>SUMIF('[1]Map_Meso-Ox'!$C:$C,A1022,'[1]Map_Meso-Ox'!$E:$E)</f>
        <v>#VALUE!</v>
      </c>
      <c r="M1022" s="2" t="e">
        <f t="shared" si="33"/>
        <v>#VALUE!</v>
      </c>
    </row>
    <row r="1023" spans="1:13" x14ac:dyDescent="0.25">
      <c r="A1023">
        <v>32</v>
      </c>
      <c r="B1023">
        <v>3</v>
      </c>
      <c r="C1023">
        <v>72.323999999999998</v>
      </c>
      <c r="D1023">
        <v>0</v>
      </c>
      <c r="E1023" t="s">
        <v>22</v>
      </c>
      <c r="F1023">
        <v>1</v>
      </c>
      <c r="G1023">
        <f>COUNTIF(E:E,E1023)</f>
        <v>110</v>
      </c>
      <c r="H1023">
        <f>COUNTIFS(E:E,E1023,A:A,A1023,D:D,D1023)</f>
        <v>1</v>
      </c>
      <c r="I1023" t="e">
        <f>SUMIF([1]Mapeamento!$J:$J,A1023,[1]Mapeamento!$L:$L)</f>
        <v>#VALUE!</v>
      </c>
      <c r="J1023" s="1" t="e">
        <f>SUMIF('[1]Map_Meso-Ox'!$C:$C,A1023,'[1]Map_Meso-Ox'!$D:$D)</f>
        <v>#VALUE!</v>
      </c>
      <c r="K1023" s="2" t="e">
        <f t="shared" si="32"/>
        <v>#VALUE!</v>
      </c>
      <c r="L1023" s="1" t="e">
        <f>SUMIF('[1]Map_Meso-Ox'!$C:$C,A1023,'[1]Map_Meso-Ox'!$E:$E)</f>
        <v>#VALUE!</v>
      </c>
      <c r="M1023" s="2" t="e">
        <f t="shared" si="33"/>
        <v>#VALUE!</v>
      </c>
    </row>
    <row r="1024" spans="1:13" x14ac:dyDescent="0.25">
      <c r="A1024">
        <v>33</v>
      </c>
      <c r="B1024">
        <v>3</v>
      </c>
      <c r="C1024">
        <v>32.933</v>
      </c>
      <c r="D1024">
        <v>1E-3</v>
      </c>
      <c r="E1024" t="s">
        <v>22</v>
      </c>
      <c r="F1024">
        <v>0</v>
      </c>
      <c r="G1024">
        <f>COUNTIF(E:E,E1024)</f>
        <v>110</v>
      </c>
      <c r="H1024">
        <f>COUNTIFS(E:E,E1024,A:A,A1024,D:D,D1024)</f>
        <v>1</v>
      </c>
      <c r="I1024" t="e">
        <f>SUMIF([1]Mapeamento!$J:$J,A1024,[1]Mapeamento!$L:$L)</f>
        <v>#VALUE!</v>
      </c>
      <c r="J1024" s="1" t="e">
        <f>SUMIF('[1]Map_Meso-Ox'!$C:$C,A1024,'[1]Map_Meso-Ox'!$D:$D)</f>
        <v>#VALUE!</v>
      </c>
      <c r="K1024" s="2" t="e">
        <f t="shared" si="32"/>
        <v>#VALUE!</v>
      </c>
      <c r="L1024" s="1" t="e">
        <f>SUMIF('[1]Map_Meso-Ox'!$C:$C,A1024,'[1]Map_Meso-Ox'!$E:$E)</f>
        <v>#VALUE!</v>
      </c>
      <c r="M1024" s="2" t="e">
        <f t="shared" si="33"/>
        <v>#VALUE!</v>
      </c>
    </row>
    <row r="1025" spans="1:13" x14ac:dyDescent="0.25">
      <c r="A1025">
        <v>34</v>
      </c>
      <c r="B1025">
        <v>3</v>
      </c>
      <c r="C1025">
        <v>58.116</v>
      </c>
      <c r="D1025">
        <v>0</v>
      </c>
      <c r="E1025" t="s">
        <v>22</v>
      </c>
      <c r="F1025">
        <v>2</v>
      </c>
      <c r="G1025">
        <f>COUNTIF(E:E,E1025)</f>
        <v>110</v>
      </c>
      <c r="H1025">
        <f>COUNTIFS(E:E,E1025,A:A,A1025,D:D,D1025)</f>
        <v>1</v>
      </c>
      <c r="I1025" t="e">
        <f>SUMIF([1]Mapeamento!$J:$J,A1025,[1]Mapeamento!$L:$L)</f>
        <v>#VALUE!</v>
      </c>
      <c r="J1025" s="1" t="e">
        <f>SUMIF('[1]Map_Meso-Ox'!$C:$C,A1025,'[1]Map_Meso-Ox'!$D:$D)</f>
        <v>#VALUE!</v>
      </c>
      <c r="K1025" s="2" t="e">
        <f t="shared" si="32"/>
        <v>#VALUE!</v>
      </c>
      <c r="L1025" s="1" t="e">
        <f>SUMIF('[1]Map_Meso-Ox'!$C:$C,A1025,'[1]Map_Meso-Ox'!$E:$E)</f>
        <v>#VALUE!</v>
      </c>
      <c r="M1025" s="2" t="e">
        <f t="shared" si="33"/>
        <v>#VALUE!</v>
      </c>
    </row>
    <row r="1026" spans="1:13" x14ac:dyDescent="0.25">
      <c r="A1026">
        <v>35</v>
      </c>
      <c r="B1026">
        <v>3</v>
      </c>
      <c r="C1026">
        <v>33.243000000000002</v>
      </c>
      <c r="D1026">
        <v>8.9999999999999998E-4</v>
      </c>
      <c r="E1026" t="s">
        <v>22</v>
      </c>
      <c r="F1026">
        <v>0</v>
      </c>
      <c r="G1026">
        <f>COUNTIF(E:E,E1026)</f>
        <v>110</v>
      </c>
      <c r="H1026">
        <f>COUNTIFS(E:E,E1026,A:A,A1026,D:D,D1026)</f>
        <v>1</v>
      </c>
      <c r="I1026" t="e">
        <f>SUMIF([1]Mapeamento!$J:$J,A1026,[1]Mapeamento!$L:$L)</f>
        <v>#VALUE!</v>
      </c>
      <c r="J1026" s="1" t="e">
        <f>SUMIF('[1]Map_Meso-Ox'!$C:$C,A1026,'[1]Map_Meso-Ox'!$D:$D)</f>
        <v>#VALUE!</v>
      </c>
      <c r="K1026" s="2" t="e">
        <f t="shared" si="32"/>
        <v>#VALUE!</v>
      </c>
      <c r="L1026" s="1" t="e">
        <f>SUMIF('[1]Map_Meso-Ox'!$C:$C,A1026,'[1]Map_Meso-Ox'!$E:$E)</f>
        <v>#VALUE!</v>
      </c>
      <c r="M1026" s="2" t="e">
        <f t="shared" si="33"/>
        <v>#VALUE!</v>
      </c>
    </row>
    <row r="1027" spans="1:13" x14ac:dyDescent="0.25">
      <c r="A1027">
        <v>36</v>
      </c>
      <c r="B1027">
        <v>3</v>
      </c>
      <c r="C1027">
        <v>61.241999999999997</v>
      </c>
      <c r="D1027">
        <v>0</v>
      </c>
      <c r="E1027" t="s">
        <v>22</v>
      </c>
      <c r="F1027">
        <v>2</v>
      </c>
      <c r="G1027">
        <f>COUNTIF(E:E,E1027)</f>
        <v>110</v>
      </c>
      <c r="H1027">
        <f>COUNTIFS(E:E,E1027,A:A,A1027,D:D,D1027)</f>
        <v>1</v>
      </c>
      <c r="I1027" t="e">
        <f>SUMIF([1]Mapeamento!$J:$J,A1027,[1]Mapeamento!$L:$L)</f>
        <v>#VALUE!</v>
      </c>
      <c r="J1027" s="1" t="e">
        <f>SUMIF('[1]Map_Meso-Ox'!$C:$C,A1027,'[1]Map_Meso-Ox'!$D:$D)</f>
        <v>#VALUE!</v>
      </c>
      <c r="K1027" s="2" t="e">
        <f t="shared" si="32"/>
        <v>#VALUE!</v>
      </c>
      <c r="L1027" s="1" t="e">
        <f>SUMIF('[1]Map_Meso-Ox'!$C:$C,A1027,'[1]Map_Meso-Ox'!$E:$E)</f>
        <v>#VALUE!</v>
      </c>
      <c r="M1027" s="2" t="e">
        <f t="shared" si="33"/>
        <v>#VALUE!</v>
      </c>
    </row>
    <row r="1028" spans="1:13" x14ac:dyDescent="0.25">
      <c r="A1028">
        <v>37</v>
      </c>
      <c r="B1028">
        <v>3</v>
      </c>
      <c r="C1028">
        <v>46.923999999999999</v>
      </c>
      <c r="D1028">
        <v>0</v>
      </c>
      <c r="E1028" t="s">
        <v>22</v>
      </c>
      <c r="F1028">
        <v>1</v>
      </c>
      <c r="G1028">
        <f>COUNTIF(E:E,E1028)</f>
        <v>110</v>
      </c>
      <c r="H1028">
        <f>COUNTIFS(E:E,E1028,A:A,A1028,D:D,D1028)</f>
        <v>1</v>
      </c>
      <c r="I1028" t="e">
        <f>SUMIF([1]Mapeamento!$J:$J,A1028,[1]Mapeamento!$L:$L)</f>
        <v>#VALUE!</v>
      </c>
      <c r="J1028" s="1" t="e">
        <f>SUMIF('[1]Map_Meso-Ox'!$C:$C,A1028,'[1]Map_Meso-Ox'!$D:$D)</f>
        <v>#VALUE!</v>
      </c>
      <c r="K1028" s="2" t="e">
        <f t="shared" si="32"/>
        <v>#VALUE!</v>
      </c>
      <c r="L1028" s="1" t="e">
        <f>SUMIF('[1]Map_Meso-Ox'!$C:$C,A1028,'[1]Map_Meso-Ox'!$E:$E)</f>
        <v>#VALUE!</v>
      </c>
      <c r="M1028" s="2" t="e">
        <f t="shared" si="33"/>
        <v>#VALUE!</v>
      </c>
    </row>
    <row r="1029" spans="1:13" x14ac:dyDescent="0.25">
      <c r="A1029">
        <v>38</v>
      </c>
      <c r="B1029">
        <v>3</v>
      </c>
      <c r="C1029">
        <v>32.283999999999999</v>
      </c>
      <c r="D1029">
        <v>1.2999999999999999E-3</v>
      </c>
      <c r="E1029" t="s">
        <v>22</v>
      </c>
      <c r="F1029">
        <v>0</v>
      </c>
      <c r="G1029">
        <f>COUNTIF(E:E,E1029)</f>
        <v>110</v>
      </c>
      <c r="H1029">
        <f>COUNTIFS(E:E,E1029,A:A,A1029,D:D,D1029)</f>
        <v>1</v>
      </c>
      <c r="I1029" t="e">
        <f>SUMIF([1]Mapeamento!$J:$J,A1029,[1]Mapeamento!$L:$L)</f>
        <v>#VALUE!</v>
      </c>
      <c r="J1029" s="1" t="e">
        <f>SUMIF('[1]Map_Meso-Ox'!$C:$C,A1029,'[1]Map_Meso-Ox'!$D:$D)</f>
        <v>#VALUE!</v>
      </c>
      <c r="K1029" s="2" t="e">
        <f t="shared" si="32"/>
        <v>#VALUE!</v>
      </c>
      <c r="L1029" s="1" t="e">
        <f>SUMIF('[1]Map_Meso-Ox'!$C:$C,A1029,'[1]Map_Meso-Ox'!$E:$E)</f>
        <v>#VALUE!</v>
      </c>
      <c r="M1029" s="2" t="e">
        <f t="shared" si="33"/>
        <v>#VALUE!</v>
      </c>
    </row>
    <row r="1030" spans="1:13" x14ac:dyDescent="0.25">
      <c r="A1030">
        <v>39</v>
      </c>
      <c r="B1030">
        <v>3</v>
      </c>
      <c r="C1030">
        <v>42.694000000000003</v>
      </c>
      <c r="D1030">
        <v>0</v>
      </c>
      <c r="E1030" t="s">
        <v>22</v>
      </c>
      <c r="F1030">
        <v>1</v>
      </c>
      <c r="G1030">
        <f>COUNTIF(E:E,E1030)</f>
        <v>110</v>
      </c>
      <c r="H1030">
        <f>COUNTIFS(E:E,E1030,A:A,A1030,D:D,D1030)</f>
        <v>1</v>
      </c>
      <c r="I1030" t="e">
        <f>SUMIF([1]Mapeamento!$J:$J,A1030,[1]Mapeamento!$L:$L)</f>
        <v>#VALUE!</v>
      </c>
      <c r="J1030" s="1" t="e">
        <f>SUMIF('[1]Map_Meso-Ox'!$C:$C,A1030,'[1]Map_Meso-Ox'!$D:$D)</f>
        <v>#VALUE!</v>
      </c>
      <c r="K1030" s="2" t="e">
        <f t="shared" si="32"/>
        <v>#VALUE!</v>
      </c>
      <c r="L1030" s="1" t="e">
        <f>SUMIF('[1]Map_Meso-Ox'!$C:$C,A1030,'[1]Map_Meso-Ox'!$E:$E)</f>
        <v>#VALUE!</v>
      </c>
      <c r="M1030" s="2" t="e">
        <f t="shared" si="33"/>
        <v>#VALUE!</v>
      </c>
    </row>
    <row r="1031" spans="1:13" x14ac:dyDescent="0.25">
      <c r="A1031">
        <v>40</v>
      </c>
      <c r="B1031">
        <v>3</v>
      </c>
      <c r="C1031">
        <v>51.789000000000001</v>
      </c>
      <c r="D1031">
        <v>0</v>
      </c>
      <c r="E1031" t="s">
        <v>22</v>
      </c>
      <c r="F1031">
        <v>1</v>
      </c>
      <c r="G1031">
        <f>COUNTIF(E:E,E1031)</f>
        <v>110</v>
      </c>
      <c r="H1031">
        <f>COUNTIFS(E:E,E1031,A:A,A1031,D:D,D1031)</f>
        <v>1</v>
      </c>
      <c r="I1031" t="e">
        <f>SUMIF([1]Mapeamento!$J:$J,A1031,[1]Mapeamento!$L:$L)</f>
        <v>#VALUE!</v>
      </c>
      <c r="J1031" s="1" t="e">
        <f>SUMIF('[1]Map_Meso-Ox'!$C:$C,A1031,'[1]Map_Meso-Ox'!$D:$D)</f>
        <v>#VALUE!</v>
      </c>
      <c r="K1031" s="2" t="e">
        <f t="shared" si="32"/>
        <v>#VALUE!</v>
      </c>
      <c r="L1031" s="1" t="e">
        <f>SUMIF('[1]Map_Meso-Ox'!$C:$C,A1031,'[1]Map_Meso-Ox'!$E:$E)</f>
        <v>#VALUE!</v>
      </c>
      <c r="M1031" s="2" t="e">
        <f t="shared" si="33"/>
        <v>#VALUE!</v>
      </c>
    </row>
    <row r="1032" spans="1:13" x14ac:dyDescent="0.25">
      <c r="A1032">
        <v>41</v>
      </c>
      <c r="B1032">
        <v>3</v>
      </c>
      <c r="C1032">
        <v>56.317999999999998</v>
      </c>
      <c r="D1032">
        <v>0</v>
      </c>
      <c r="E1032" t="s">
        <v>22</v>
      </c>
      <c r="F1032">
        <v>1</v>
      </c>
      <c r="G1032">
        <f>COUNTIF(E:E,E1032)</f>
        <v>110</v>
      </c>
      <c r="H1032">
        <f>COUNTIFS(E:E,E1032,A:A,A1032,D:D,D1032)</f>
        <v>1</v>
      </c>
      <c r="I1032" t="e">
        <f>SUMIF([1]Mapeamento!$J:$J,A1032,[1]Mapeamento!$L:$L)</f>
        <v>#VALUE!</v>
      </c>
      <c r="J1032" s="1" t="e">
        <f>SUMIF('[1]Map_Meso-Ox'!$C:$C,A1032,'[1]Map_Meso-Ox'!$D:$D)</f>
        <v>#VALUE!</v>
      </c>
      <c r="K1032" s="2" t="e">
        <f t="shared" si="32"/>
        <v>#VALUE!</v>
      </c>
      <c r="L1032" s="1" t="e">
        <f>SUMIF('[1]Map_Meso-Ox'!$C:$C,A1032,'[1]Map_Meso-Ox'!$E:$E)</f>
        <v>#VALUE!</v>
      </c>
      <c r="M1032" s="2" t="e">
        <f t="shared" si="33"/>
        <v>#VALUE!</v>
      </c>
    </row>
    <row r="1033" spans="1:13" x14ac:dyDescent="0.25">
      <c r="A1033">
        <v>42</v>
      </c>
      <c r="B1033">
        <v>3</v>
      </c>
      <c r="C1033">
        <v>37.976999999999997</v>
      </c>
      <c r="D1033">
        <v>2.0000000000000001E-4</v>
      </c>
      <c r="E1033" t="s">
        <v>22</v>
      </c>
      <c r="F1033">
        <v>0</v>
      </c>
      <c r="G1033">
        <f>COUNTIF(E:E,E1033)</f>
        <v>110</v>
      </c>
      <c r="H1033">
        <f>COUNTIFS(E:E,E1033,A:A,A1033,D:D,D1033)</f>
        <v>1</v>
      </c>
      <c r="I1033" t="e">
        <f>SUMIF([1]Mapeamento!$J:$J,A1033,[1]Mapeamento!$L:$L)</f>
        <v>#VALUE!</v>
      </c>
      <c r="J1033" s="1" t="e">
        <f>SUMIF('[1]Map_Meso-Ox'!$C:$C,A1033,'[1]Map_Meso-Ox'!$D:$D)</f>
        <v>#VALUE!</v>
      </c>
      <c r="K1033" s="2" t="e">
        <f t="shared" si="32"/>
        <v>#VALUE!</v>
      </c>
      <c r="L1033" s="1" t="e">
        <f>SUMIF('[1]Map_Meso-Ox'!$C:$C,A1033,'[1]Map_Meso-Ox'!$E:$E)</f>
        <v>#VALUE!</v>
      </c>
      <c r="M1033" s="2" t="e">
        <f t="shared" si="33"/>
        <v>#VALUE!</v>
      </c>
    </row>
    <row r="1034" spans="1:13" x14ac:dyDescent="0.25">
      <c r="A1034">
        <v>43</v>
      </c>
      <c r="B1034">
        <v>3</v>
      </c>
      <c r="C1034">
        <v>28.605</v>
      </c>
      <c r="D1034">
        <v>4.4999999999999997E-3</v>
      </c>
      <c r="E1034" t="s">
        <v>22</v>
      </c>
      <c r="F1034">
        <v>0</v>
      </c>
      <c r="G1034">
        <f>COUNTIF(E:E,E1034)</f>
        <v>110</v>
      </c>
      <c r="H1034">
        <f>COUNTIFS(E:E,E1034,A:A,A1034,D:D,D1034)</f>
        <v>1</v>
      </c>
      <c r="I1034" t="e">
        <f>SUMIF([1]Mapeamento!$J:$J,A1034,[1]Mapeamento!$L:$L)</f>
        <v>#VALUE!</v>
      </c>
      <c r="J1034" s="1" t="e">
        <f>SUMIF('[1]Map_Meso-Ox'!$C:$C,A1034,'[1]Map_Meso-Ox'!$D:$D)</f>
        <v>#VALUE!</v>
      </c>
      <c r="K1034" s="2" t="e">
        <f t="shared" si="32"/>
        <v>#VALUE!</v>
      </c>
      <c r="L1034" s="1" t="e">
        <f>SUMIF('[1]Map_Meso-Ox'!$C:$C,A1034,'[1]Map_Meso-Ox'!$E:$E)</f>
        <v>#VALUE!</v>
      </c>
      <c r="M1034" s="2" t="e">
        <f t="shared" si="33"/>
        <v>#VALUE!</v>
      </c>
    </row>
    <row r="1035" spans="1:13" x14ac:dyDescent="0.25">
      <c r="A1035">
        <v>44</v>
      </c>
      <c r="B1035">
        <v>3</v>
      </c>
      <c r="C1035">
        <v>30.542000000000002</v>
      </c>
      <c r="D1035">
        <v>2.3E-3</v>
      </c>
      <c r="E1035" t="s">
        <v>22</v>
      </c>
      <c r="F1035">
        <v>0</v>
      </c>
      <c r="G1035">
        <f>COUNTIF(E:E,E1035)</f>
        <v>110</v>
      </c>
      <c r="H1035">
        <f>COUNTIFS(E:E,E1035,A:A,A1035,D:D,D1035)</f>
        <v>1</v>
      </c>
      <c r="I1035" t="e">
        <f>SUMIF([1]Mapeamento!$J:$J,A1035,[1]Mapeamento!$L:$L)</f>
        <v>#VALUE!</v>
      </c>
      <c r="J1035" s="1" t="e">
        <f>SUMIF('[1]Map_Meso-Ox'!$C:$C,A1035,'[1]Map_Meso-Ox'!$D:$D)</f>
        <v>#VALUE!</v>
      </c>
      <c r="K1035" s="2" t="e">
        <f t="shared" si="32"/>
        <v>#VALUE!</v>
      </c>
      <c r="L1035" s="1" t="e">
        <f>SUMIF('[1]Map_Meso-Ox'!$C:$C,A1035,'[1]Map_Meso-Ox'!$E:$E)</f>
        <v>#VALUE!</v>
      </c>
      <c r="M1035" s="2" t="e">
        <f t="shared" si="33"/>
        <v>#VALUE!</v>
      </c>
    </row>
    <row r="1036" spans="1:13" x14ac:dyDescent="0.25">
      <c r="A1036">
        <v>45</v>
      </c>
      <c r="B1036">
        <v>3</v>
      </c>
      <c r="C1036">
        <v>44.39</v>
      </c>
      <c r="D1036">
        <v>0</v>
      </c>
      <c r="E1036" t="s">
        <v>22</v>
      </c>
      <c r="F1036">
        <v>2</v>
      </c>
      <c r="G1036">
        <f>COUNTIF(E:E,E1036)</f>
        <v>110</v>
      </c>
      <c r="H1036">
        <f>COUNTIFS(E:E,E1036,A:A,A1036,D:D,D1036)</f>
        <v>1</v>
      </c>
      <c r="I1036" t="e">
        <f>SUMIF([1]Mapeamento!$J:$J,A1036,[1]Mapeamento!$L:$L)</f>
        <v>#VALUE!</v>
      </c>
      <c r="J1036" s="1" t="e">
        <f>SUMIF('[1]Map_Meso-Ox'!$C:$C,A1036,'[1]Map_Meso-Ox'!$D:$D)</f>
        <v>#VALUE!</v>
      </c>
      <c r="K1036" s="2" t="e">
        <f t="shared" si="32"/>
        <v>#VALUE!</v>
      </c>
      <c r="L1036" s="1" t="e">
        <f>SUMIF('[1]Map_Meso-Ox'!$C:$C,A1036,'[1]Map_Meso-Ox'!$E:$E)</f>
        <v>#VALUE!</v>
      </c>
      <c r="M1036" s="2" t="e">
        <f t="shared" si="33"/>
        <v>#VALUE!</v>
      </c>
    </row>
    <row r="1037" spans="1:13" x14ac:dyDescent="0.25">
      <c r="A1037">
        <v>46</v>
      </c>
      <c r="B1037">
        <v>3</v>
      </c>
      <c r="C1037">
        <v>55.402999999999999</v>
      </c>
      <c r="D1037">
        <v>0</v>
      </c>
      <c r="E1037" t="s">
        <v>22</v>
      </c>
      <c r="F1037">
        <v>0</v>
      </c>
      <c r="G1037">
        <f>COUNTIF(E:E,E1037)</f>
        <v>110</v>
      </c>
      <c r="H1037">
        <f>COUNTIFS(E:E,E1037,A:A,A1037,D:D,D1037)</f>
        <v>1</v>
      </c>
      <c r="I1037" t="e">
        <f>SUMIF([1]Mapeamento!$J:$J,A1037,[1]Mapeamento!$L:$L)</f>
        <v>#VALUE!</v>
      </c>
      <c r="J1037" s="1" t="e">
        <f>SUMIF('[1]Map_Meso-Ox'!$C:$C,A1037,'[1]Map_Meso-Ox'!$D:$D)</f>
        <v>#VALUE!</v>
      </c>
      <c r="K1037" s="2" t="e">
        <f t="shared" si="32"/>
        <v>#VALUE!</v>
      </c>
      <c r="L1037" s="1" t="e">
        <f>SUMIF('[1]Map_Meso-Ox'!$C:$C,A1037,'[1]Map_Meso-Ox'!$E:$E)</f>
        <v>#VALUE!</v>
      </c>
      <c r="M1037" s="2" t="e">
        <f t="shared" si="33"/>
        <v>#VALUE!</v>
      </c>
    </row>
    <row r="1038" spans="1:13" x14ac:dyDescent="0.25">
      <c r="A1038">
        <v>47</v>
      </c>
      <c r="B1038">
        <v>3</v>
      </c>
      <c r="C1038">
        <v>39.39</v>
      </c>
      <c r="D1038">
        <v>1E-4</v>
      </c>
      <c r="E1038" t="s">
        <v>22</v>
      </c>
      <c r="F1038">
        <v>0</v>
      </c>
      <c r="G1038">
        <f>COUNTIF(E:E,E1038)</f>
        <v>110</v>
      </c>
      <c r="H1038">
        <f>COUNTIFS(E:E,E1038,A:A,A1038,D:D,D1038)</f>
        <v>1</v>
      </c>
      <c r="I1038" t="e">
        <f>SUMIF([1]Mapeamento!$J:$J,A1038,[1]Mapeamento!$L:$L)</f>
        <v>#VALUE!</v>
      </c>
      <c r="J1038" s="1" t="e">
        <f>SUMIF('[1]Map_Meso-Ox'!$C:$C,A1038,'[1]Map_Meso-Ox'!$D:$D)</f>
        <v>#VALUE!</v>
      </c>
      <c r="K1038" s="2" t="e">
        <f t="shared" si="32"/>
        <v>#VALUE!</v>
      </c>
      <c r="L1038" s="1" t="e">
        <f>SUMIF('[1]Map_Meso-Ox'!$C:$C,A1038,'[1]Map_Meso-Ox'!$E:$E)</f>
        <v>#VALUE!</v>
      </c>
      <c r="M1038" s="2" t="e">
        <f t="shared" si="33"/>
        <v>#VALUE!</v>
      </c>
    </row>
    <row r="1039" spans="1:13" x14ac:dyDescent="0.25">
      <c r="A1039">
        <v>48</v>
      </c>
      <c r="B1039">
        <v>3</v>
      </c>
      <c r="C1039">
        <v>38.704000000000001</v>
      </c>
      <c r="D1039">
        <v>1E-4</v>
      </c>
      <c r="E1039" t="s">
        <v>22</v>
      </c>
      <c r="F1039">
        <v>0</v>
      </c>
      <c r="G1039">
        <f>COUNTIF(E:E,E1039)</f>
        <v>110</v>
      </c>
      <c r="H1039">
        <f>COUNTIFS(E:E,E1039,A:A,A1039,D:D,D1039)</f>
        <v>1</v>
      </c>
      <c r="I1039" t="e">
        <f>SUMIF([1]Mapeamento!$J:$J,A1039,[1]Mapeamento!$L:$L)</f>
        <v>#VALUE!</v>
      </c>
      <c r="J1039" s="1" t="e">
        <f>SUMIF('[1]Map_Meso-Ox'!$C:$C,A1039,'[1]Map_Meso-Ox'!$D:$D)</f>
        <v>#VALUE!</v>
      </c>
      <c r="K1039" s="2" t="e">
        <f t="shared" si="32"/>
        <v>#VALUE!</v>
      </c>
      <c r="L1039" s="1" t="e">
        <f>SUMIF('[1]Map_Meso-Ox'!$C:$C,A1039,'[1]Map_Meso-Ox'!$E:$E)</f>
        <v>#VALUE!</v>
      </c>
      <c r="M1039" s="2" t="e">
        <f t="shared" si="33"/>
        <v>#VALUE!</v>
      </c>
    </row>
    <row r="1040" spans="1:13" x14ac:dyDescent="0.25">
      <c r="A1040">
        <v>49</v>
      </c>
      <c r="B1040">
        <v>3</v>
      </c>
      <c r="C1040">
        <v>36.106999999999999</v>
      </c>
      <c r="D1040">
        <v>2.9999999999999997E-4</v>
      </c>
      <c r="E1040" t="s">
        <v>22</v>
      </c>
      <c r="F1040">
        <v>0</v>
      </c>
      <c r="G1040">
        <f>COUNTIF(E:E,E1040)</f>
        <v>110</v>
      </c>
      <c r="H1040">
        <f>COUNTIFS(E:E,E1040,A:A,A1040,D:D,D1040)</f>
        <v>1</v>
      </c>
      <c r="I1040" t="e">
        <f>SUMIF([1]Mapeamento!$J:$J,A1040,[1]Mapeamento!$L:$L)</f>
        <v>#VALUE!</v>
      </c>
      <c r="J1040" s="1" t="e">
        <f>SUMIF('[1]Map_Meso-Ox'!$C:$C,A1040,'[1]Map_Meso-Ox'!$D:$D)</f>
        <v>#VALUE!</v>
      </c>
      <c r="K1040" s="2" t="e">
        <f t="shared" si="32"/>
        <v>#VALUE!</v>
      </c>
      <c r="L1040" s="1" t="e">
        <f>SUMIF('[1]Map_Meso-Ox'!$C:$C,A1040,'[1]Map_Meso-Ox'!$E:$E)</f>
        <v>#VALUE!</v>
      </c>
      <c r="M1040" s="2" t="e">
        <f t="shared" si="33"/>
        <v>#VALUE!</v>
      </c>
    </row>
    <row r="1041" spans="1:13" x14ac:dyDescent="0.25">
      <c r="A1041">
        <v>50</v>
      </c>
      <c r="B1041">
        <v>3</v>
      </c>
      <c r="C1041">
        <v>32.018999999999998</v>
      </c>
      <c r="D1041">
        <v>1.4E-3</v>
      </c>
      <c r="E1041" t="s">
        <v>22</v>
      </c>
      <c r="F1041">
        <v>0</v>
      </c>
      <c r="G1041">
        <f>COUNTIF(E:E,E1041)</f>
        <v>110</v>
      </c>
      <c r="H1041">
        <f>COUNTIFS(E:E,E1041,A:A,A1041,D:D,D1041)</f>
        <v>1</v>
      </c>
      <c r="I1041" t="e">
        <f>SUMIF([1]Mapeamento!$J:$J,A1041,[1]Mapeamento!$L:$L)</f>
        <v>#VALUE!</v>
      </c>
      <c r="J1041" s="1" t="e">
        <f>SUMIF('[1]Map_Meso-Ox'!$C:$C,A1041,'[1]Map_Meso-Ox'!$D:$D)</f>
        <v>#VALUE!</v>
      </c>
      <c r="K1041" s="2" t="e">
        <f t="shared" si="32"/>
        <v>#VALUE!</v>
      </c>
      <c r="L1041" s="1" t="e">
        <f>SUMIF('[1]Map_Meso-Ox'!$C:$C,A1041,'[1]Map_Meso-Ox'!$E:$E)</f>
        <v>#VALUE!</v>
      </c>
      <c r="M1041" s="2" t="e">
        <f t="shared" si="33"/>
        <v>#VALUE!</v>
      </c>
    </row>
    <row r="1042" spans="1:13" x14ac:dyDescent="0.25">
      <c r="A1042">
        <v>51</v>
      </c>
      <c r="B1042">
        <v>3</v>
      </c>
      <c r="C1042">
        <v>31.853999999999999</v>
      </c>
      <c r="D1042">
        <v>1.5E-3</v>
      </c>
      <c r="E1042" t="s">
        <v>22</v>
      </c>
      <c r="F1042">
        <v>0</v>
      </c>
      <c r="G1042">
        <f>COUNTIF(E:E,E1042)</f>
        <v>110</v>
      </c>
      <c r="H1042">
        <f>COUNTIFS(E:E,E1042,A:A,A1042,D:D,D1042)</f>
        <v>1</v>
      </c>
      <c r="I1042" t="e">
        <f>SUMIF([1]Mapeamento!$J:$J,A1042,[1]Mapeamento!$L:$L)</f>
        <v>#VALUE!</v>
      </c>
      <c r="J1042" s="1" t="e">
        <f>SUMIF('[1]Map_Meso-Ox'!$C:$C,A1042,'[1]Map_Meso-Ox'!$D:$D)</f>
        <v>#VALUE!</v>
      </c>
      <c r="K1042" s="2" t="e">
        <f t="shared" si="32"/>
        <v>#VALUE!</v>
      </c>
      <c r="L1042" s="1" t="e">
        <f>SUMIF('[1]Map_Meso-Ox'!$C:$C,A1042,'[1]Map_Meso-Ox'!$E:$E)</f>
        <v>#VALUE!</v>
      </c>
      <c r="M1042" s="2" t="e">
        <f t="shared" si="33"/>
        <v>#VALUE!</v>
      </c>
    </row>
    <row r="1043" spans="1:13" x14ac:dyDescent="0.25">
      <c r="A1043">
        <v>52</v>
      </c>
      <c r="B1043">
        <v>3</v>
      </c>
      <c r="C1043">
        <v>40.353999999999999</v>
      </c>
      <c r="D1043">
        <v>1E-4</v>
      </c>
      <c r="E1043" t="s">
        <v>22</v>
      </c>
      <c r="F1043">
        <v>1</v>
      </c>
      <c r="G1043">
        <f>COUNTIF(E:E,E1043)</f>
        <v>110</v>
      </c>
      <c r="H1043">
        <f>COUNTIFS(E:E,E1043,A:A,A1043,D:D,D1043)</f>
        <v>1</v>
      </c>
      <c r="I1043" t="e">
        <f>SUMIF([1]Mapeamento!$J:$J,A1043,[1]Mapeamento!$L:$L)</f>
        <v>#VALUE!</v>
      </c>
      <c r="J1043" s="1" t="e">
        <f>SUMIF('[1]Map_Meso-Ox'!$C:$C,A1043,'[1]Map_Meso-Ox'!$D:$D)</f>
        <v>#VALUE!</v>
      </c>
      <c r="K1043" s="2" t="e">
        <f t="shared" si="32"/>
        <v>#VALUE!</v>
      </c>
      <c r="L1043" s="1" t="e">
        <f>SUMIF('[1]Map_Meso-Ox'!$C:$C,A1043,'[1]Map_Meso-Ox'!$E:$E)</f>
        <v>#VALUE!</v>
      </c>
      <c r="M1043" s="2" t="e">
        <f t="shared" si="33"/>
        <v>#VALUE!</v>
      </c>
    </row>
    <row r="1044" spans="1:13" x14ac:dyDescent="0.25">
      <c r="A1044">
        <v>53</v>
      </c>
      <c r="B1044">
        <v>3</v>
      </c>
      <c r="C1044">
        <v>58.697000000000003</v>
      </c>
      <c r="D1044">
        <v>0</v>
      </c>
      <c r="E1044" t="s">
        <v>22</v>
      </c>
      <c r="F1044">
        <v>3</v>
      </c>
      <c r="G1044">
        <f>COUNTIF(E:E,E1044)</f>
        <v>110</v>
      </c>
      <c r="H1044">
        <f>COUNTIFS(E:E,E1044,A:A,A1044,D:D,D1044)</f>
        <v>1</v>
      </c>
      <c r="I1044" t="e">
        <f>SUMIF([1]Mapeamento!$J:$J,A1044,[1]Mapeamento!$L:$L)</f>
        <v>#VALUE!</v>
      </c>
      <c r="J1044" s="1" t="e">
        <f>SUMIF('[1]Map_Meso-Ox'!$C:$C,A1044,'[1]Map_Meso-Ox'!$D:$D)</f>
        <v>#VALUE!</v>
      </c>
      <c r="K1044" s="2" t="e">
        <f t="shared" si="32"/>
        <v>#VALUE!</v>
      </c>
      <c r="L1044" s="1" t="e">
        <f>SUMIF('[1]Map_Meso-Ox'!$C:$C,A1044,'[1]Map_Meso-Ox'!$E:$E)</f>
        <v>#VALUE!</v>
      </c>
      <c r="M1044" s="2" t="e">
        <f t="shared" si="33"/>
        <v>#VALUE!</v>
      </c>
    </row>
    <row r="1045" spans="1:13" x14ac:dyDescent="0.25">
      <c r="A1045">
        <v>54</v>
      </c>
      <c r="B1045">
        <v>3</v>
      </c>
      <c r="C1045">
        <v>52.225999999999999</v>
      </c>
      <c r="D1045">
        <v>0</v>
      </c>
      <c r="E1045" t="s">
        <v>22</v>
      </c>
      <c r="F1045">
        <v>1</v>
      </c>
      <c r="G1045">
        <f>COUNTIF(E:E,E1045)</f>
        <v>110</v>
      </c>
      <c r="H1045">
        <f>COUNTIFS(E:E,E1045,A:A,A1045,D:D,D1045)</f>
        <v>1</v>
      </c>
      <c r="I1045" t="e">
        <f>SUMIF([1]Mapeamento!$J:$J,A1045,[1]Mapeamento!$L:$L)</f>
        <v>#VALUE!</v>
      </c>
      <c r="J1045" s="1" t="e">
        <f>SUMIF('[1]Map_Meso-Ox'!$C:$C,A1045,'[1]Map_Meso-Ox'!$D:$D)</f>
        <v>#VALUE!</v>
      </c>
      <c r="K1045" s="2" t="e">
        <f t="shared" si="32"/>
        <v>#VALUE!</v>
      </c>
      <c r="L1045" s="1" t="e">
        <f>SUMIF('[1]Map_Meso-Ox'!$C:$C,A1045,'[1]Map_Meso-Ox'!$E:$E)</f>
        <v>#VALUE!</v>
      </c>
      <c r="M1045" s="2" t="e">
        <f t="shared" si="33"/>
        <v>#VALUE!</v>
      </c>
    </row>
    <row r="1046" spans="1:13" x14ac:dyDescent="0.25">
      <c r="A1046">
        <v>55</v>
      </c>
      <c r="B1046">
        <v>3</v>
      </c>
      <c r="C1046">
        <v>44.838999999999999</v>
      </c>
      <c r="D1046">
        <v>0</v>
      </c>
      <c r="E1046" t="s">
        <v>22</v>
      </c>
      <c r="F1046">
        <v>1</v>
      </c>
      <c r="G1046">
        <f>COUNTIF(E:E,E1046)</f>
        <v>110</v>
      </c>
      <c r="H1046">
        <f>COUNTIFS(E:E,E1046,A:A,A1046,D:D,D1046)</f>
        <v>1</v>
      </c>
      <c r="I1046" t="e">
        <f>SUMIF([1]Mapeamento!$J:$J,A1046,[1]Mapeamento!$L:$L)</f>
        <v>#VALUE!</v>
      </c>
      <c r="J1046" s="1" t="e">
        <f>SUMIF('[1]Map_Meso-Ox'!$C:$C,A1046,'[1]Map_Meso-Ox'!$D:$D)</f>
        <v>#VALUE!</v>
      </c>
      <c r="K1046" s="2" t="e">
        <f t="shared" si="32"/>
        <v>#VALUE!</v>
      </c>
      <c r="L1046" s="1" t="e">
        <f>SUMIF('[1]Map_Meso-Ox'!$C:$C,A1046,'[1]Map_Meso-Ox'!$E:$E)</f>
        <v>#VALUE!</v>
      </c>
      <c r="M1046" s="2" t="e">
        <f t="shared" si="33"/>
        <v>#VALUE!</v>
      </c>
    </row>
    <row r="1047" spans="1:13" x14ac:dyDescent="0.25">
      <c r="A1047">
        <v>56</v>
      </c>
      <c r="B1047">
        <v>3</v>
      </c>
      <c r="C1047">
        <v>74.052000000000007</v>
      </c>
      <c r="D1047">
        <v>0</v>
      </c>
      <c r="E1047" t="s">
        <v>22</v>
      </c>
      <c r="F1047">
        <v>1</v>
      </c>
      <c r="G1047">
        <f>COUNTIF(E:E,E1047)</f>
        <v>110</v>
      </c>
      <c r="H1047">
        <f>COUNTIFS(E:E,E1047,A:A,A1047,D:D,D1047)</f>
        <v>1</v>
      </c>
      <c r="I1047" t="e">
        <f>SUMIF([1]Mapeamento!$J:$J,A1047,[1]Mapeamento!$L:$L)</f>
        <v>#VALUE!</v>
      </c>
      <c r="J1047" s="1" t="e">
        <f>SUMIF('[1]Map_Meso-Ox'!$C:$C,A1047,'[1]Map_Meso-Ox'!$D:$D)</f>
        <v>#VALUE!</v>
      </c>
      <c r="K1047" s="2" t="e">
        <f t="shared" si="32"/>
        <v>#VALUE!</v>
      </c>
      <c r="L1047" s="1" t="e">
        <f>SUMIF('[1]Map_Meso-Ox'!$C:$C,A1047,'[1]Map_Meso-Ox'!$E:$E)</f>
        <v>#VALUE!</v>
      </c>
      <c r="M1047" s="2" t="e">
        <f t="shared" si="33"/>
        <v>#VALUE!</v>
      </c>
    </row>
    <row r="1048" spans="1:13" x14ac:dyDescent="0.25">
      <c r="A1048">
        <v>57</v>
      </c>
      <c r="B1048">
        <v>3</v>
      </c>
      <c r="C1048">
        <v>41.817999999999998</v>
      </c>
      <c r="D1048">
        <v>0</v>
      </c>
      <c r="E1048" t="s">
        <v>22</v>
      </c>
      <c r="F1048">
        <v>0</v>
      </c>
      <c r="G1048">
        <f>COUNTIF(E:E,E1048)</f>
        <v>110</v>
      </c>
      <c r="H1048">
        <f>COUNTIFS(E:E,E1048,A:A,A1048,D:D,D1048)</f>
        <v>1</v>
      </c>
      <c r="I1048" t="e">
        <f>SUMIF([1]Mapeamento!$J:$J,A1048,[1]Mapeamento!$L:$L)</f>
        <v>#VALUE!</v>
      </c>
      <c r="J1048" s="1" t="e">
        <f>SUMIF('[1]Map_Meso-Ox'!$C:$C,A1048,'[1]Map_Meso-Ox'!$D:$D)</f>
        <v>#VALUE!</v>
      </c>
      <c r="K1048" s="2" t="e">
        <f t="shared" si="32"/>
        <v>#VALUE!</v>
      </c>
      <c r="L1048" s="1" t="e">
        <f>SUMIF('[1]Map_Meso-Ox'!$C:$C,A1048,'[1]Map_Meso-Ox'!$E:$E)</f>
        <v>#VALUE!</v>
      </c>
      <c r="M1048" s="2" t="e">
        <f t="shared" si="33"/>
        <v>#VALUE!</v>
      </c>
    </row>
    <row r="1049" spans="1:13" x14ac:dyDescent="0.25">
      <c r="A1049">
        <v>58</v>
      </c>
      <c r="B1049">
        <v>3</v>
      </c>
      <c r="C1049">
        <v>53.926000000000002</v>
      </c>
      <c r="D1049">
        <v>0</v>
      </c>
      <c r="E1049" t="s">
        <v>22</v>
      </c>
      <c r="F1049">
        <v>1</v>
      </c>
      <c r="G1049">
        <f>COUNTIF(E:E,E1049)</f>
        <v>110</v>
      </c>
      <c r="H1049">
        <f>COUNTIFS(E:E,E1049,A:A,A1049,D:D,D1049)</f>
        <v>1</v>
      </c>
      <c r="I1049" t="e">
        <f>SUMIF([1]Mapeamento!$J:$J,A1049,[1]Mapeamento!$L:$L)</f>
        <v>#VALUE!</v>
      </c>
      <c r="J1049" s="1" t="e">
        <f>SUMIF('[1]Map_Meso-Ox'!$C:$C,A1049,'[1]Map_Meso-Ox'!$D:$D)</f>
        <v>#VALUE!</v>
      </c>
      <c r="K1049" s="2" t="e">
        <f t="shared" si="32"/>
        <v>#VALUE!</v>
      </c>
      <c r="L1049" s="1" t="e">
        <f>SUMIF('[1]Map_Meso-Ox'!$C:$C,A1049,'[1]Map_Meso-Ox'!$E:$E)</f>
        <v>#VALUE!</v>
      </c>
      <c r="M1049" s="2" t="e">
        <f t="shared" si="33"/>
        <v>#VALUE!</v>
      </c>
    </row>
    <row r="1050" spans="1:13" x14ac:dyDescent="0.25">
      <c r="A1050">
        <v>59</v>
      </c>
      <c r="B1050">
        <v>3</v>
      </c>
      <c r="C1050">
        <v>59.893999999999998</v>
      </c>
      <c r="D1050">
        <v>0</v>
      </c>
      <c r="E1050" t="s">
        <v>22</v>
      </c>
      <c r="F1050">
        <v>1</v>
      </c>
      <c r="G1050">
        <f>COUNTIF(E:E,E1050)</f>
        <v>110</v>
      </c>
      <c r="H1050">
        <f>COUNTIFS(E:E,E1050,A:A,A1050,D:D,D1050)</f>
        <v>1</v>
      </c>
      <c r="I1050" t="e">
        <f>SUMIF([1]Mapeamento!$J:$J,A1050,[1]Mapeamento!$L:$L)</f>
        <v>#VALUE!</v>
      </c>
      <c r="J1050" s="1" t="e">
        <f>SUMIF('[1]Map_Meso-Ox'!$C:$C,A1050,'[1]Map_Meso-Ox'!$D:$D)</f>
        <v>#VALUE!</v>
      </c>
      <c r="K1050" s="2" t="e">
        <f t="shared" si="32"/>
        <v>#VALUE!</v>
      </c>
      <c r="L1050" s="1" t="e">
        <f>SUMIF('[1]Map_Meso-Ox'!$C:$C,A1050,'[1]Map_Meso-Ox'!$E:$E)</f>
        <v>#VALUE!</v>
      </c>
      <c r="M1050" s="2" t="e">
        <f t="shared" si="33"/>
        <v>#VALUE!</v>
      </c>
    </row>
    <row r="1051" spans="1:13" x14ac:dyDescent="0.25">
      <c r="A1051">
        <v>60</v>
      </c>
      <c r="B1051">
        <v>3</v>
      </c>
      <c r="C1051">
        <v>51.95</v>
      </c>
      <c r="D1051">
        <v>0</v>
      </c>
      <c r="E1051" t="s">
        <v>22</v>
      </c>
      <c r="F1051">
        <v>1</v>
      </c>
      <c r="G1051">
        <f>COUNTIF(E:E,E1051)</f>
        <v>110</v>
      </c>
      <c r="H1051">
        <f>COUNTIFS(E:E,E1051,A:A,A1051,D:D,D1051)</f>
        <v>1</v>
      </c>
      <c r="I1051" t="e">
        <f>SUMIF([1]Mapeamento!$J:$J,A1051,[1]Mapeamento!$L:$L)</f>
        <v>#VALUE!</v>
      </c>
      <c r="J1051" s="1" t="e">
        <f>SUMIF('[1]Map_Meso-Ox'!$C:$C,A1051,'[1]Map_Meso-Ox'!$D:$D)</f>
        <v>#VALUE!</v>
      </c>
      <c r="K1051" s="2" t="e">
        <f t="shared" si="32"/>
        <v>#VALUE!</v>
      </c>
      <c r="L1051" s="1" t="e">
        <f>SUMIF('[1]Map_Meso-Ox'!$C:$C,A1051,'[1]Map_Meso-Ox'!$E:$E)</f>
        <v>#VALUE!</v>
      </c>
      <c r="M1051" s="2" t="e">
        <f t="shared" si="33"/>
        <v>#VALUE!</v>
      </c>
    </row>
    <row r="1052" spans="1:13" x14ac:dyDescent="0.25">
      <c r="A1052">
        <v>61</v>
      </c>
      <c r="B1052">
        <v>3</v>
      </c>
      <c r="C1052">
        <v>37.125</v>
      </c>
      <c r="D1052">
        <v>2.0000000000000001E-4</v>
      </c>
      <c r="E1052" t="s">
        <v>22</v>
      </c>
      <c r="F1052">
        <v>0</v>
      </c>
      <c r="G1052">
        <f>COUNTIF(E:E,E1052)</f>
        <v>110</v>
      </c>
      <c r="H1052">
        <f>COUNTIFS(E:E,E1052,A:A,A1052,D:D,D1052)</f>
        <v>1</v>
      </c>
      <c r="I1052" t="e">
        <f>SUMIF([1]Mapeamento!$J:$J,A1052,[1]Mapeamento!$L:$L)</f>
        <v>#VALUE!</v>
      </c>
      <c r="J1052" s="1" t="e">
        <f>SUMIF('[1]Map_Meso-Ox'!$C:$C,A1052,'[1]Map_Meso-Ox'!$D:$D)</f>
        <v>#VALUE!</v>
      </c>
      <c r="K1052" s="2" t="e">
        <f t="shared" si="32"/>
        <v>#VALUE!</v>
      </c>
      <c r="L1052" s="1" t="e">
        <f>SUMIF('[1]Map_Meso-Ox'!$C:$C,A1052,'[1]Map_Meso-Ox'!$E:$E)</f>
        <v>#VALUE!</v>
      </c>
      <c r="M1052" s="2" t="e">
        <f t="shared" si="33"/>
        <v>#VALUE!</v>
      </c>
    </row>
    <row r="1053" spans="1:13" x14ac:dyDescent="0.25">
      <c r="A1053">
        <v>62</v>
      </c>
      <c r="B1053">
        <v>3</v>
      </c>
      <c r="C1053">
        <v>66.572000000000003</v>
      </c>
      <c r="D1053">
        <v>0</v>
      </c>
      <c r="E1053" t="s">
        <v>22</v>
      </c>
      <c r="F1053">
        <v>1</v>
      </c>
      <c r="G1053">
        <f>COUNTIF(E:E,E1053)</f>
        <v>110</v>
      </c>
      <c r="H1053">
        <f>COUNTIFS(E:E,E1053,A:A,A1053,D:D,D1053)</f>
        <v>1</v>
      </c>
      <c r="I1053" t="e">
        <f>SUMIF([1]Mapeamento!$J:$J,A1053,[1]Mapeamento!$L:$L)</f>
        <v>#VALUE!</v>
      </c>
      <c r="J1053" s="1" t="e">
        <f>SUMIF('[1]Map_Meso-Ox'!$C:$C,A1053,'[1]Map_Meso-Ox'!$D:$D)</f>
        <v>#VALUE!</v>
      </c>
      <c r="K1053" s="2" t="e">
        <f t="shared" si="32"/>
        <v>#VALUE!</v>
      </c>
      <c r="L1053" s="1" t="e">
        <f>SUMIF('[1]Map_Meso-Ox'!$C:$C,A1053,'[1]Map_Meso-Ox'!$E:$E)</f>
        <v>#VALUE!</v>
      </c>
      <c r="M1053" s="2" t="e">
        <f t="shared" si="33"/>
        <v>#VALUE!</v>
      </c>
    </row>
    <row r="1054" spans="1:13" x14ac:dyDescent="0.25">
      <c r="A1054">
        <v>63</v>
      </c>
      <c r="B1054">
        <v>3</v>
      </c>
      <c r="C1054">
        <v>37.636000000000003</v>
      </c>
      <c r="D1054">
        <v>2.0000000000000001E-4</v>
      </c>
      <c r="E1054" t="s">
        <v>22</v>
      </c>
      <c r="F1054">
        <v>1</v>
      </c>
      <c r="G1054">
        <f>COUNTIF(E:E,E1054)</f>
        <v>110</v>
      </c>
      <c r="H1054">
        <f>COUNTIFS(E:E,E1054,A:A,A1054,D:D,D1054)</f>
        <v>1</v>
      </c>
      <c r="I1054" t="e">
        <f>SUMIF([1]Mapeamento!$J:$J,A1054,[1]Mapeamento!$L:$L)</f>
        <v>#VALUE!</v>
      </c>
      <c r="J1054" s="1" t="e">
        <f>SUMIF('[1]Map_Meso-Ox'!$C:$C,A1054,'[1]Map_Meso-Ox'!$D:$D)</f>
        <v>#VALUE!</v>
      </c>
      <c r="K1054" s="2" t="e">
        <f t="shared" si="32"/>
        <v>#VALUE!</v>
      </c>
      <c r="L1054" s="1" t="e">
        <f>SUMIF('[1]Map_Meso-Ox'!$C:$C,A1054,'[1]Map_Meso-Ox'!$E:$E)</f>
        <v>#VALUE!</v>
      </c>
      <c r="M1054" s="2" t="e">
        <f t="shared" si="33"/>
        <v>#VALUE!</v>
      </c>
    </row>
    <row r="1055" spans="1:13" x14ac:dyDescent="0.25">
      <c r="A1055">
        <v>64</v>
      </c>
      <c r="B1055">
        <v>3</v>
      </c>
      <c r="C1055">
        <v>31.280999999999999</v>
      </c>
      <c r="D1055">
        <v>1.8E-3</v>
      </c>
      <c r="E1055" t="s">
        <v>22</v>
      </c>
      <c r="F1055">
        <v>0</v>
      </c>
      <c r="G1055">
        <f>COUNTIF(E:E,E1055)</f>
        <v>110</v>
      </c>
      <c r="H1055">
        <f>COUNTIFS(E:E,E1055,A:A,A1055,D:D,D1055)</f>
        <v>1</v>
      </c>
      <c r="I1055" t="e">
        <f>SUMIF([1]Mapeamento!$J:$J,A1055,[1]Mapeamento!$L:$L)</f>
        <v>#VALUE!</v>
      </c>
      <c r="J1055" s="1" t="e">
        <f>SUMIF('[1]Map_Meso-Ox'!$C:$C,A1055,'[1]Map_Meso-Ox'!$D:$D)</f>
        <v>#VALUE!</v>
      </c>
      <c r="K1055" s="2" t="e">
        <f t="shared" si="32"/>
        <v>#VALUE!</v>
      </c>
      <c r="L1055" s="1" t="e">
        <f>SUMIF('[1]Map_Meso-Ox'!$C:$C,A1055,'[1]Map_Meso-Ox'!$E:$E)</f>
        <v>#VALUE!</v>
      </c>
      <c r="M1055" s="2" t="e">
        <f t="shared" si="33"/>
        <v>#VALUE!</v>
      </c>
    </row>
    <row r="1056" spans="1:13" x14ac:dyDescent="0.25">
      <c r="A1056">
        <v>65</v>
      </c>
      <c r="B1056">
        <v>3</v>
      </c>
      <c r="C1056">
        <v>91.429000000000002</v>
      </c>
      <c r="D1056">
        <v>0</v>
      </c>
      <c r="E1056" t="s">
        <v>22</v>
      </c>
      <c r="F1056">
        <v>2</v>
      </c>
      <c r="G1056">
        <f>COUNTIF(E:E,E1056)</f>
        <v>110</v>
      </c>
      <c r="H1056">
        <f>COUNTIFS(E:E,E1056,A:A,A1056,D:D,D1056)</f>
        <v>1</v>
      </c>
      <c r="I1056" t="e">
        <f>SUMIF([1]Mapeamento!$J:$J,A1056,[1]Mapeamento!$L:$L)</f>
        <v>#VALUE!</v>
      </c>
      <c r="J1056" s="1" t="e">
        <f>SUMIF('[1]Map_Meso-Ox'!$C:$C,A1056,'[1]Map_Meso-Ox'!$D:$D)</f>
        <v>#VALUE!</v>
      </c>
      <c r="K1056" s="2" t="e">
        <f t="shared" ref="K1056:K1119" si="34">J1056/203401269</f>
        <v>#VALUE!</v>
      </c>
      <c r="L1056" s="1" t="e">
        <f>SUMIF('[1]Map_Meso-Ox'!$C:$C,A1056,'[1]Map_Meso-Ox'!$E:$E)</f>
        <v>#VALUE!</v>
      </c>
      <c r="M1056" s="2" t="e">
        <f t="shared" ref="M1056:M1119" si="35">L1056/3868725997.715</f>
        <v>#VALUE!</v>
      </c>
    </row>
    <row r="1057" spans="1:13" x14ac:dyDescent="0.25">
      <c r="A1057">
        <v>66</v>
      </c>
      <c r="B1057">
        <v>3</v>
      </c>
      <c r="C1057">
        <v>50.337000000000003</v>
      </c>
      <c r="D1057">
        <v>0</v>
      </c>
      <c r="E1057" t="s">
        <v>22</v>
      </c>
      <c r="F1057">
        <v>1</v>
      </c>
      <c r="G1057">
        <f>COUNTIF(E:E,E1057)</f>
        <v>110</v>
      </c>
      <c r="H1057">
        <f>COUNTIFS(E:E,E1057,A:A,A1057,D:D,D1057)</f>
        <v>1</v>
      </c>
      <c r="I1057" t="e">
        <f>SUMIF([1]Mapeamento!$J:$J,A1057,[1]Mapeamento!$L:$L)</f>
        <v>#VALUE!</v>
      </c>
      <c r="J1057" s="1" t="e">
        <f>SUMIF('[1]Map_Meso-Ox'!$C:$C,A1057,'[1]Map_Meso-Ox'!$D:$D)</f>
        <v>#VALUE!</v>
      </c>
      <c r="K1057" s="2" t="e">
        <f t="shared" si="34"/>
        <v>#VALUE!</v>
      </c>
      <c r="L1057" s="1" t="e">
        <f>SUMIF('[1]Map_Meso-Ox'!$C:$C,A1057,'[1]Map_Meso-Ox'!$E:$E)</f>
        <v>#VALUE!</v>
      </c>
      <c r="M1057" s="2" t="e">
        <f t="shared" si="35"/>
        <v>#VALUE!</v>
      </c>
    </row>
    <row r="1058" spans="1:13" x14ac:dyDescent="0.25">
      <c r="A1058">
        <v>67</v>
      </c>
      <c r="B1058">
        <v>3</v>
      </c>
      <c r="C1058">
        <v>76.356999999999999</v>
      </c>
      <c r="D1058">
        <v>0</v>
      </c>
      <c r="E1058" t="s">
        <v>22</v>
      </c>
      <c r="F1058">
        <v>1</v>
      </c>
      <c r="G1058">
        <f>COUNTIF(E:E,E1058)</f>
        <v>110</v>
      </c>
      <c r="H1058">
        <f>COUNTIFS(E:E,E1058,A:A,A1058,D:D,D1058)</f>
        <v>1</v>
      </c>
      <c r="I1058" t="e">
        <f>SUMIF([1]Mapeamento!$J:$J,A1058,[1]Mapeamento!$L:$L)</f>
        <v>#VALUE!</v>
      </c>
      <c r="J1058" s="1" t="e">
        <f>SUMIF('[1]Map_Meso-Ox'!$C:$C,A1058,'[1]Map_Meso-Ox'!$D:$D)</f>
        <v>#VALUE!</v>
      </c>
      <c r="K1058" s="2" t="e">
        <f t="shared" si="34"/>
        <v>#VALUE!</v>
      </c>
      <c r="L1058" s="1" t="e">
        <f>SUMIF('[1]Map_Meso-Ox'!$C:$C,A1058,'[1]Map_Meso-Ox'!$E:$E)</f>
        <v>#VALUE!</v>
      </c>
      <c r="M1058" s="2" t="e">
        <f t="shared" si="35"/>
        <v>#VALUE!</v>
      </c>
    </row>
    <row r="1059" spans="1:13" x14ac:dyDescent="0.25">
      <c r="A1059">
        <v>68</v>
      </c>
      <c r="B1059">
        <v>3</v>
      </c>
      <c r="C1059">
        <v>65.311999999999998</v>
      </c>
      <c r="D1059">
        <v>0</v>
      </c>
      <c r="E1059" t="s">
        <v>22</v>
      </c>
      <c r="F1059">
        <v>3</v>
      </c>
      <c r="G1059">
        <f>COUNTIF(E:E,E1059)</f>
        <v>110</v>
      </c>
      <c r="H1059">
        <f>COUNTIFS(E:E,E1059,A:A,A1059,D:D,D1059)</f>
        <v>1</v>
      </c>
      <c r="I1059" t="e">
        <f>SUMIF([1]Mapeamento!$J:$J,A1059,[1]Mapeamento!$L:$L)</f>
        <v>#VALUE!</v>
      </c>
      <c r="J1059" s="1" t="e">
        <f>SUMIF('[1]Map_Meso-Ox'!$C:$C,A1059,'[1]Map_Meso-Ox'!$D:$D)</f>
        <v>#VALUE!</v>
      </c>
      <c r="K1059" s="2" t="e">
        <f t="shared" si="34"/>
        <v>#VALUE!</v>
      </c>
      <c r="L1059" s="1" t="e">
        <f>SUMIF('[1]Map_Meso-Ox'!$C:$C,A1059,'[1]Map_Meso-Ox'!$E:$E)</f>
        <v>#VALUE!</v>
      </c>
      <c r="M1059" s="2" t="e">
        <f t="shared" si="35"/>
        <v>#VALUE!</v>
      </c>
    </row>
    <row r="1060" spans="1:13" x14ac:dyDescent="0.25">
      <c r="A1060">
        <v>69</v>
      </c>
      <c r="B1060">
        <v>3</v>
      </c>
      <c r="C1060">
        <v>38.322000000000003</v>
      </c>
      <c r="D1060">
        <v>1E-4</v>
      </c>
      <c r="E1060" t="s">
        <v>22</v>
      </c>
      <c r="F1060">
        <v>0</v>
      </c>
      <c r="G1060">
        <f>COUNTIF(E:E,E1060)</f>
        <v>110</v>
      </c>
      <c r="H1060">
        <f>COUNTIFS(E:E,E1060,A:A,A1060,D:D,D1060)</f>
        <v>1</v>
      </c>
      <c r="I1060" t="e">
        <f>SUMIF([1]Mapeamento!$J:$J,A1060,[1]Mapeamento!$L:$L)</f>
        <v>#VALUE!</v>
      </c>
      <c r="J1060" s="1" t="e">
        <f>SUMIF('[1]Map_Meso-Ox'!$C:$C,A1060,'[1]Map_Meso-Ox'!$D:$D)</f>
        <v>#VALUE!</v>
      </c>
      <c r="K1060" s="2" t="e">
        <f t="shared" si="34"/>
        <v>#VALUE!</v>
      </c>
      <c r="L1060" s="1" t="e">
        <f>SUMIF('[1]Map_Meso-Ox'!$C:$C,A1060,'[1]Map_Meso-Ox'!$E:$E)</f>
        <v>#VALUE!</v>
      </c>
      <c r="M1060" s="2" t="e">
        <f t="shared" si="35"/>
        <v>#VALUE!</v>
      </c>
    </row>
    <row r="1061" spans="1:13" x14ac:dyDescent="0.25">
      <c r="A1061">
        <v>70</v>
      </c>
      <c r="B1061">
        <v>3</v>
      </c>
      <c r="C1061">
        <v>47.591000000000001</v>
      </c>
      <c r="D1061">
        <v>0</v>
      </c>
      <c r="E1061" t="s">
        <v>22</v>
      </c>
      <c r="F1061">
        <v>1</v>
      </c>
      <c r="G1061">
        <f>COUNTIF(E:E,E1061)</f>
        <v>110</v>
      </c>
      <c r="H1061">
        <f>COUNTIFS(E:E,E1061,A:A,A1061,D:D,D1061)</f>
        <v>1</v>
      </c>
      <c r="I1061" t="e">
        <f>SUMIF([1]Mapeamento!$J:$J,A1061,[1]Mapeamento!$L:$L)</f>
        <v>#VALUE!</v>
      </c>
      <c r="J1061" s="1" t="e">
        <f>SUMIF('[1]Map_Meso-Ox'!$C:$C,A1061,'[1]Map_Meso-Ox'!$D:$D)</f>
        <v>#VALUE!</v>
      </c>
      <c r="K1061" s="2" t="e">
        <f t="shared" si="34"/>
        <v>#VALUE!</v>
      </c>
      <c r="L1061" s="1" t="e">
        <f>SUMIF('[1]Map_Meso-Ox'!$C:$C,A1061,'[1]Map_Meso-Ox'!$E:$E)</f>
        <v>#VALUE!</v>
      </c>
      <c r="M1061" s="2" t="e">
        <f t="shared" si="35"/>
        <v>#VALUE!</v>
      </c>
    </row>
    <row r="1062" spans="1:13" x14ac:dyDescent="0.25">
      <c r="A1062">
        <v>71</v>
      </c>
      <c r="B1062">
        <v>3</v>
      </c>
      <c r="C1062">
        <v>59.161999999999999</v>
      </c>
      <c r="D1062">
        <v>0</v>
      </c>
      <c r="E1062" t="s">
        <v>22</v>
      </c>
      <c r="F1062">
        <v>2</v>
      </c>
      <c r="G1062">
        <f>COUNTIF(E:E,E1062)</f>
        <v>110</v>
      </c>
      <c r="H1062">
        <f>COUNTIFS(E:E,E1062,A:A,A1062,D:D,D1062)</f>
        <v>1</v>
      </c>
      <c r="I1062" t="e">
        <f>SUMIF([1]Mapeamento!$J:$J,A1062,[1]Mapeamento!$L:$L)</f>
        <v>#VALUE!</v>
      </c>
      <c r="J1062" s="1" t="e">
        <f>SUMIF('[1]Map_Meso-Ox'!$C:$C,A1062,'[1]Map_Meso-Ox'!$D:$D)</f>
        <v>#VALUE!</v>
      </c>
      <c r="K1062" s="2" t="e">
        <f t="shared" si="34"/>
        <v>#VALUE!</v>
      </c>
      <c r="L1062" s="1" t="e">
        <f>SUMIF('[1]Map_Meso-Ox'!$C:$C,A1062,'[1]Map_Meso-Ox'!$E:$E)</f>
        <v>#VALUE!</v>
      </c>
      <c r="M1062" s="2" t="e">
        <f t="shared" si="35"/>
        <v>#VALUE!</v>
      </c>
    </row>
    <row r="1063" spans="1:13" x14ac:dyDescent="0.25">
      <c r="A1063">
        <v>72</v>
      </c>
      <c r="B1063">
        <v>3</v>
      </c>
      <c r="C1063">
        <v>61.4</v>
      </c>
      <c r="D1063">
        <v>0</v>
      </c>
      <c r="E1063" t="s">
        <v>22</v>
      </c>
      <c r="F1063">
        <v>1</v>
      </c>
      <c r="G1063">
        <f>COUNTIF(E:E,E1063)</f>
        <v>110</v>
      </c>
      <c r="H1063">
        <f>COUNTIFS(E:E,E1063,A:A,A1063,D:D,D1063)</f>
        <v>1</v>
      </c>
      <c r="I1063" t="e">
        <f>SUMIF([1]Mapeamento!$J:$J,A1063,[1]Mapeamento!$L:$L)</f>
        <v>#VALUE!</v>
      </c>
      <c r="J1063" s="1" t="e">
        <f>SUMIF('[1]Map_Meso-Ox'!$C:$C,A1063,'[1]Map_Meso-Ox'!$D:$D)</f>
        <v>#VALUE!</v>
      </c>
      <c r="K1063" s="2" t="e">
        <f t="shared" si="34"/>
        <v>#VALUE!</v>
      </c>
      <c r="L1063" s="1" t="e">
        <f>SUMIF('[1]Map_Meso-Ox'!$C:$C,A1063,'[1]Map_Meso-Ox'!$E:$E)</f>
        <v>#VALUE!</v>
      </c>
      <c r="M1063" s="2" t="e">
        <f t="shared" si="35"/>
        <v>#VALUE!</v>
      </c>
    </row>
    <row r="1064" spans="1:13" x14ac:dyDescent="0.25">
      <c r="A1064">
        <v>73</v>
      </c>
      <c r="B1064">
        <v>3</v>
      </c>
      <c r="C1064">
        <v>50.984000000000002</v>
      </c>
      <c r="D1064">
        <v>0</v>
      </c>
      <c r="E1064" t="s">
        <v>22</v>
      </c>
      <c r="F1064">
        <v>2</v>
      </c>
      <c r="G1064">
        <f>COUNTIF(E:E,E1064)</f>
        <v>110</v>
      </c>
      <c r="H1064">
        <f>COUNTIFS(E:E,E1064,A:A,A1064,D:D,D1064)</f>
        <v>1</v>
      </c>
      <c r="I1064" t="e">
        <f>SUMIF([1]Mapeamento!$J:$J,A1064,[1]Mapeamento!$L:$L)</f>
        <v>#VALUE!</v>
      </c>
      <c r="J1064" s="1" t="e">
        <f>SUMIF('[1]Map_Meso-Ox'!$C:$C,A1064,'[1]Map_Meso-Ox'!$D:$D)</f>
        <v>#VALUE!</v>
      </c>
      <c r="K1064" s="2" t="e">
        <f t="shared" si="34"/>
        <v>#VALUE!</v>
      </c>
      <c r="L1064" s="1" t="e">
        <f>SUMIF('[1]Map_Meso-Ox'!$C:$C,A1064,'[1]Map_Meso-Ox'!$E:$E)</f>
        <v>#VALUE!</v>
      </c>
      <c r="M1064" s="2" t="e">
        <f t="shared" si="35"/>
        <v>#VALUE!</v>
      </c>
    </row>
    <row r="1065" spans="1:13" x14ac:dyDescent="0.25">
      <c r="A1065">
        <v>74</v>
      </c>
      <c r="B1065">
        <v>3</v>
      </c>
      <c r="C1065">
        <v>23.331</v>
      </c>
      <c r="D1065">
        <v>2.5000000000000001E-2</v>
      </c>
      <c r="E1065" t="s">
        <v>22</v>
      </c>
      <c r="F1065">
        <v>0</v>
      </c>
      <c r="G1065">
        <f>COUNTIF(E:E,E1065)</f>
        <v>110</v>
      </c>
      <c r="H1065">
        <f>COUNTIFS(E:E,E1065,A:A,A1065,D:D,D1065)</f>
        <v>1</v>
      </c>
      <c r="I1065" t="e">
        <f>SUMIF([1]Mapeamento!$J:$J,A1065,[1]Mapeamento!$L:$L)</f>
        <v>#VALUE!</v>
      </c>
      <c r="J1065" s="1" t="e">
        <f>SUMIF('[1]Map_Meso-Ox'!$C:$C,A1065,'[1]Map_Meso-Ox'!$D:$D)</f>
        <v>#VALUE!</v>
      </c>
      <c r="K1065" s="2" t="e">
        <f t="shared" si="34"/>
        <v>#VALUE!</v>
      </c>
      <c r="L1065" s="1" t="e">
        <f>SUMIF('[1]Map_Meso-Ox'!$C:$C,A1065,'[1]Map_Meso-Ox'!$E:$E)</f>
        <v>#VALUE!</v>
      </c>
      <c r="M1065" s="2" t="e">
        <f t="shared" si="35"/>
        <v>#VALUE!</v>
      </c>
    </row>
    <row r="1066" spans="1:13" x14ac:dyDescent="0.25">
      <c r="A1066">
        <v>75</v>
      </c>
      <c r="B1066">
        <v>3</v>
      </c>
      <c r="C1066">
        <v>39.280999999999999</v>
      </c>
      <c r="D1066">
        <v>1E-4</v>
      </c>
      <c r="E1066" t="s">
        <v>22</v>
      </c>
      <c r="F1066">
        <v>1</v>
      </c>
      <c r="G1066">
        <f>COUNTIF(E:E,E1066)</f>
        <v>110</v>
      </c>
      <c r="H1066">
        <f>COUNTIFS(E:E,E1066,A:A,A1066,D:D,D1066)</f>
        <v>1</v>
      </c>
      <c r="I1066" t="e">
        <f>SUMIF([1]Mapeamento!$J:$J,A1066,[1]Mapeamento!$L:$L)</f>
        <v>#VALUE!</v>
      </c>
      <c r="J1066" s="1" t="e">
        <f>SUMIF('[1]Map_Meso-Ox'!$C:$C,A1066,'[1]Map_Meso-Ox'!$D:$D)</f>
        <v>#VALUE!</v>
      </c>
      <c r="K1066" s="2" t="e">
        <f t="shared" si="34"/>
        <v>#VALUE!</v>
      </c>
      <c r="L1066" s="1" t="e">
        <f>SUMIF('[1]Map_Meso-Ox'!$C:$C,A1066,'[1]Map_Meso-Ox'!$E:$E)</f>
        <v>#VALUE!</v>
      </c>
      <c r="M1066" s="2" t="e">
        <f t="shared" si="35"/>
        <v>#VALUE!</v>
      </c>
    </row>
    <row r="1067" spans="1:13" x14ac:dyDescent="0.25">
      <c r="A1067">
        <v>76</v>
      </c>
      <c r="B1067">
        <v>3</v>
      </c>
      <c r="C1067">
        <v>59.825000000000003</v>
      </c>
      <c r="D1067">
        <v>0</v>
      </c>
      <c r="E1067" t="s">
        <v>22</v>
      </c>
      <c r="F1067">
        <v>1</v>
      </c>
      <c r="G1067">
        <f>COUNTIF(E:E,E1067)</f>
        <v>110</v>
      </c>
      <c r="H1067">
        <f>COUNTIFS(E:E,E1067,A:A,A1067,D:D,D1067)</f>
        <v>1</v>
      </c>
      <c r="I1067" t="e">
        <f>SUMIF([1]Mapeamento!$J:$J,A1067,[1]Mapeamento!$L:$L)</f>
        <v>#VALUE!</v>
      </c>
      <c r="J1067" s="1" t="e">
        <f>SUMIF('[1]Map_Meso-Ox'!$C:$C,A1067,'[1]Map_Meso-Ox'!$D:$D)</f>
        <v>#VALUE!</v>
      </c>
      <c r="K1067" s="2" t="e">
        <f t="shared" si="34"/>
        <v>#VALUE!</v>
      </c>
      <c r="L1067" s="1" t="e">
        <f>SUMIF('[1]Map_Meso-Ox'!$C:$C,A1067,'[1]Map_Meso-Ox'!$E:$E)</f>
        <v>#VALUE!</v>
      </c>
      <c r="M1067" s="2" t="e">
        <f t="shared" si="35"/>
        <v>#VALUE!</v>
      </c>
    </row>
    <row r="1068" spans="1:13" x14ac:dyDescent="0.25">
      <c r="A1068">
        <v>77</v>
      </c>
      <c r="B1068">
        <v>3</v>
      </c>
      <c r="C1068">
        <v>50.17</v>
      </c>
      <c r="D1068">
        <v>0</v>
      </c>
      <c r="E1068" t="s">
        <v>22</v>
      </c>
      <c r="F1068">
        <v>1</v>
      </c>
      <c r="G1068">
        <f>COUNTIF(E:E,E1068)</f>
        <v>110</v>
      </c>
      <c r="H1068">
        <f>COUNTIFS(E:E,E1068,A:A,A1068,D:D,D1068)</f>
        <v>1</v>
      </c>
      <c r="I1068" t="e">
        <f>SUMIF([1]Mapeamento!$J:$J,A1068,[1]Mapeamento!$L:$L)</f>
        <v>#VALUE!</v>
      </c>
      <c r="J1068" s="1" t="e">
        <f>SUMIF('[1]Map_Meso-Ox'!$C:$C,A1068,'[1]Map_Meso-Ox'!$D:$D)</f>
        <v>#VALUE!</v>
      </c>
      <c r="K1068" s="2" t="e">
        <f t="shared" si="34"/>
        <v>#VALUE!</v>
      </c>
      <c r="L1068" s="1" t="e">
        <f>SUMIF('[1]Map_Meso-Ox'!$C:$C,A1068,'[1]Map_Meso-Ox'!$E:$E)</f>
        <v>#VALUE!</v>
      </c>
      <c r="M1068" s="2" t="e">
        <f t="shared" si="35"/>
        <v>#VALUE!</v>
      </c>
    </row>
    <row r="1069" spans="1:13" x14ac:dyDescent="0.25">
      <c r="A1069">
        <v>78</v>
      </c>
      <c r="B1069">
        <v>3</v>
      </c>
      <c r="C1069">
        <v>85.677999999999997</v>
      </c>
      <c r="D1069">
        <v>0</v>
      </c>
      <c r="E1069" t="s">
        <v>22</v>
      </c>
      <c r="F1069">
        <v>2</v>
      </c>
      <c r="G1069">
        <f>COUNTIF(E:E,E1069)</f>
        <v>110</v>
      </c>
      <c r="H1069">
        <f>COUNTIFS(E:E,E1069,A:A,A1069,D:D,D1069)</f>
        <v>1</v>
      </c>
      <c r="I1069" t="e">
        <f>SUMIF([1]Mapeamento!$J:$J,A1069,[1]Mapeamento!$L:$L)</f>
        <v>#VALUE!</v>
      </c>
      <c r="J1069" s="1" t="e">
        <f>SUMIF('[1]Map_Meso-Ox'!$C:$C,A1069,'[1]Map_Meso-Ox'!$D:$D)</f>
        <v>#VALUE!</v>
      </c>
      <c r="K1069" s="2" t="e">
        <f t="shared" si="34"/>
        <v>#VALUE!</v>
      </c>
      <c r="L1069" s="1" t="e">
        <f>SUMIF('[1]Map_Meso-Ox'!$C:$C,A1069,'[1]Map_Meso-Ox'!$E:$E)</f>
        <v>#VALUE!</v>
      </c>
      <c r="M1069" s="2" t="e">
        <f t="shared" si="35"/>
        <v>#VALUE!</v>
      </c>
    </row>
    <row r="1070" spans="1:13" x14ac:dyDescent="0.25">
      <c r="A1070">
        <v>79</v>
      </c>
      <c r="B1070">
        <v>3</v>
      </c>
      <c r="C1070">
        <v>61.100999999999999</v>
      </c>
      <c r="D1070">
        <v>0</v>
      </c>
      <c r="E1070" t="s">
        <v>22</v>
      </c>
      <c r="F1070">
        <v>1</v>
      </c>
      <c r="G1070">
        <f>COUNTIF(E:E,E1070)</f>
        <v>110</v>
      </c>
      <c r="H1070">
        <f>COUNTIFS(E:E,E1070,A:A,A1070,D:D,D1070)</f>
        <v>1</v>
      </c>
      <c r="I1070" t="e">
        <f>SUMIF([1]Mapeamento!$J:$J,A1070,[1]Mapeamento!$L:$L)</f>
        <v>#VALUE!</v>
      </c>
      <c r="J1070" s="1" t="e">
        <f>SUMIF('[1]Map_Meso-Ox'!$C:$C,A1070,'[1]Map_Meso-Ox'!$D:$D)</f>
        <v>#VALUE!</v>
      </c>
      <c r="K1070" s="2" t="e">
        <f t="shared" si="34"/>
        <v>#VALUE!</v>
      </c>
      <c r="L1070" s="1" t="e">
        <f>SUMIF('[1]Map_Meso-Ox'!$C:$C,A1070,'[1]Map_Meso-Ox'!$E:$E)</f>
        <v>#VALUE!</v>
      </c>
      <c r="M1070" s="2" t="e">
        <f t="shared" si="35"/>
        <v>#VALUE!</v>
      </c>
    </row>
    <row r="1071" spans="1:13" x14ac:dyDescent="0.25">
      <c r="A1071">
        <v>80</v>
      </c>
      <c r="B1071">
        <v>3</v>
      </c>
      <c r="C1071">
        <v>52.124000000000002</v>
      </c>
      <c r="D1071">
        <v>0</v>
      </c>
      <c r="E1071" t="s">
        <v>22</v>
      </c>
      <c r="F1071">
        <v>1</v>
      </c>
      <c r="G1071">
        <f>COUNTIF(E:E,E1071)</f>
        <v>110</v>
      </c>
      <c r="H1071">
        <f>COUNTIFS(E:E,E1071,A:A,A1071,D:D,D1071)</f>
        <v>1</v>
      </c>
      <c r="I1071" t="e">
        <f>SUMIF([1]Mapeamento!$J:$J,A1071,[1]Mapeamento!$L:$L)</f>
        <v>#VALUE!</v>
      </c>
      <c r="J1071" s="1" t="e">
        <f>SUMIF('[1]Map_Meso-Ox'!$C:$C,A1071,'[1]Map_Meso-Ox'!$D:$D)</f>
        <v>#VALUE!</v>
      </c>
      <c r="K1071" s="2" t="e">
        <f t="shared" si="34"/>
        <v>#VALUE!</v>
      </c>
      <c r="L1071" s="1" t="e">
        <f>SUMIF('[1]Map_Meso-Ox'!$C:$C,A1071,'[1]Map_Meso-Ox'!$E:$E)</f>
        <v>#VALUE!</v>
      </c>
      <c r="M1071" s="2" t="e">
        <f t="shared" si="35"/>
        <v>#VALUE!</v>
      </c>
    </row>
    <row r="1072" spans="1:13" x14ac:dyDescent="0.25">
      <c r="A1072">
        <v>81</v>
      </c>
      <c r="B1072">
        <v>3</v>
      </c>
      <c r="C1072">
        <v>39.061999999999998</v>
      </c>
      <c r="D1072">
        <v>1E-4</v>
      </c>
      <c r="E1072" t="s">
        <v>22</v>
      </c>
      <c r="F1072">
        <v>1</v>
      </c>
      <c r="G1072">
        <f>COUNTIF(E:E,E1072)</f>
        <v>110</v>
      </c>
      <c r="H1072">
        <f>COUNTIFS(E:E,E1072,A:A,A1072,D:D,D1072)</f>
        <v>1</v>
      </c>
      <c r="I1072" t="e">
        <f>SUMIF([1]Mapeamento!$J:$J,A1072,[1]Mapeamento!$L:$L)</f>
        <v>#VALUE!</v>
      </c>
      <c r="J1072" s="1" t="e">
        <f>SUMIF('[1]Map_Meso-Ox'!$C:$C,A1072,'[1]Map_Meso-Ox'!$D:$D)</f>
        <v>#VALUE!</v>
      </c>
      <c r="K1072" s="2" t="e">
        <f t="shared" si="34"/>
        <v>#VALUE!</v>
      </c>
      <c r="L1072" s="1" t="e">
        <f>SUMIF('[1]Map_Meso-Ox'!$C:$C,A1072,'[1]Map_Meso-Ox'!$E:$E)</f>
        <v>#VALUE!</v>
      </c>
      <c r="M1072" s="2" t="e">
        <f t="shared" si="35"/>
        <v>#VALUE!</v>
      </c>
    </row>
    <row r="1073" spans="1:13" x14ac:dyDescent="0.25">
      <c r="A1073">
        <v>82</v>
      </c>
      <c r="B1073">
        <v>3</v>
      </c>
      <c r="C1073">
        <v>42.018000000000001</v>
      </c>
      <c r="D1073">
        <v>0</v>
      </c>
      <c r="E1073" t="s">
        <v>22</v>
      </c>
      <c r="F1073">
        <v>1</v>
      </c>
      <c r="G1073">
        <f>COUNTIF(E:E,E1073)</f>
        <v>110</v>
      </c>
      <c r="H1073">
        <f>COUNTIFS(E:E,E1073,A:A,A1073,D:D,D1073)</f>
        <v>1</v>
      </c>
      <c r="I1073" t="e">
        <f>SUMIF([1]Mapeamento!$J:$J,A1073,[1]Mapeamento!$L:$L)</f>
        <v>#VALUE!</v>
      </c>
      <c r="J1073" s="1" t="e">
        <f>SUMIF('[1]Map_Meso-Ox'!$C:$C,A1073,'[1]Map_Meso-Ox'!$D:$D)</f>
        <v>#VALUE!</v>
      </c>
      <c r="K1073" s="2" t="e">
        <f t="shared" si="34"/>
        <v>#VALUE!</v>
      </c>
      <c r="L1073" s="1" t="e">
        <f>SUMIF('[1]Map_Meso-Ox'!$C:$C,A1073,'[1]Map_Meso-Ox'!$E:$E)</f>
        <v>#VALUE!</v>
      </c>
      <c r="M1073" s="2" t="e">
        <f t="shared" si="35"/>
        <v>#VALUE!</v>
      </c>
    </row>
    <row r="1074" spans="1:13" x14ac:dyDescent="0.25">
      <c r="A1074">
        <v>83</v>
      </c>
      <c r="B1074">
        <v>3</v>
      </c>
      <c r="C1074">
        <v>56.875</v>
      </c>
      <c r="D1074">
        <v>0</v>
      </c>
      <c r="E1074" t="s">
        <v>22</v>
      </c>
      <c r="F1074">
        <v>1</v>
      </c>
      <c r="G1074">
        <f>COUNTIF(E:E,E1074)</f>
        <v>110</v>
      </c>
      <c r="H1074">
        <f>COUNTIFS(E:E,E1074,A:A,A1074,D:D,D1074)</f>
        <v>1</v>
      </c>
      <c r="I1074" t="e">
        <f>SUMIF([1]Mapeamento!$J:$J,A1074,[1]Mapeamento!$L:$L)</f>
        <v>#VALUE!</v>
      </c>
      <c r="J1074" s="1" t="e">
        <f>SUMIF('[1]Map_Meso-Ox'!$C:$C,A1074,'[1]Map_Meso-Ox'!$D:$D)</f>
        <v>#VALUE!</v>
      </c>
      <c r="K1074" s="2" t="e">
        <f t="shared" si="34"/>
        <v>#VALUE!</v>
      </c>
      <c r="L1074" s="1" t="e">
        <f>SUMIF('[1]Map_Meso-Ox'!$C:$C,A1074,'[1]Map_Meso-Ox'!$E:$E)</f>
        <v>#VALUE!</v>
      </c>
      <c r="M1074" s="2" t="e">
        <f t="shared" si="35"/>
        <v>#VALUE!</v>
      </c>
    </row>
    <row r="1075" spans="1:13" x14ac:dyDescent="0.25">
      <c r="A1075">
        <v>84</v>
      </c>
      <c r="B1075">
        <v>3</v>
      </c>
      <c r="C1075">
        <v>41.588000000000001</v>
      </c>
      <c r="D1075">
        <v>0</v>
      </c>
      <c r="E1075" t="s">
        <v>22</v>
      </c>
      <c r="F1075">
        <v>2</v>
      </c>
      <c r="G1075">
        <f>COUNTIF(E:E,E1075)</f>
        <v>110</v>
      </c>
      <c r="H1075">
        <f>COUNTIFS(E:E,E1075,A:A,A1075,D:D,D1075)</f>
        <v>1</v>
      </c>
      <c r="I1075" t="e">
        <f>SUMIF([1]Mapeamento!$J:$J,A1075,[1]Mapeamento!$L:$L)</f>
        <v>#VALUE!</v>
      </c>
      <c r="J1075" s="1" t="e">
        <f>SUMIF('[1]Map_Meso-Ox'!$C:$C,A1075,'[1]Map_Meso-Ox'!$D:$D)</f>
        <v>#VALUE!</v>
      </c>
      <c r="K1075" s="2" t="e">
        <f t="shared" si="34"/>
        <v>#VALUE!</v>
      </c>
      <c r="L1075" s="1" t="e">
        <f>SUMIF('[1]Map_Meso-Ox'!$C:$C,A1075,'[1]Map_Meso-Ox'!$E:$E)</f>
        <v>#VALUE!</v>
      </c>
      <c r="M1075" s="2" t="e">
        <f t="shared" si="35"/>
        <v>#VALUE!</v>
      </c>
    </row>
    <row r="1076" spans="1:13" x14ac:dyDescent="0.25">
      <c r="A1076">
        <v>85</v>
      </c>
      <c r="B1076">
        <v>3</v>
      </c>
      <c r="C1076">
        <v>53.091000000000001</v>
      </c>
      <c r="D1076">
        <v>0</v>
      </c>
      <c r="E1076" t="s">
        <v>22</v>
      </c>
      <c r="F1076">
        <v>1</v>
      </c>
      <c r="G1076">
        <f>COUNTIF(E:E,E1076)</f>
        <v>110</v>
      </c>
      <c r="H1076">
        <f>COUNTIFS(E:E,E1076,A:A,A1076,D:D,D1076)</f>
        <v>1</v>
      </c>
      <c r="I1076" t="e">
        <f>SUMIF([1]Mapeamento!$J:$J,A1076,[1]Mapeamento!$L:$L)</f>
        <v>#VALUE!</v>
      </c>
      <c r="J1076" s="1" t="e">
        <f>SUMIF('[1]Map_Meso-Ox'!$C:$C,A1076,'[1]Map_Meso-Ox'!$D:$D)</f>
        <v>#VALUE!</v>
      </c>
      <c r="K1076" s="2" t="e">
        <f t="shared" si="34"/>
        <v>#VALUE!</v>
      </c>
      <c r="L1076" s="1" t="e">
        <f>SUMIF('[1]Map_Meso-Ox'!$C:$C,A1076,'[1]Map_Meso-Ox'!$E:$E)</f>
        <v>#VALUE!</v>
      </c>
      <c r="M1076" s="2" t="e">
        <f t="shared" si="35"/>
        <v>#VALUE!</v>
      </c>
    </row>
    <row r="1077" spans="1:13" x14ac:dyDescent="0.25">
      <c r="A1077">
        <v>86</v>
      </c>
      <c r="B1077">
        <v>3</v>
      </c>
      <c r="C1077">
        <v>55.354999999999997</v>
      </c>
      <c r="D1077">
        <v>0</v>
      </c>
      <c r="E1077" t="s">
        <v>22</v>
      </c>
      <c r="F1077">
        <v>1</v>
      </c>
      <c r="G1077">
        <f>COUNTIF(E:E,E1077)</f>
        <v>110</v>
      </c>
      <c r="H1077">
        <f>COUNTIFS(E:E,E1077,A:A,A1077,D:D,D1077)</f>
        <v>1</v>
      </c>
      <c r="I1077" t="e">
        <f>SUMIF([1]Mapeamento!$J:$J,A1077,[1]Mapeamento!$L:$L)</f>
        <v>#VALUE!</v>
      </c>
      <c r="J1077" s="1" t="e">
        <f>SUMIF('[1]Map_Meso-Ox'!$C:$C,A1077,'[1]Map_Meso-Ox'!$D:$D)</f>
        <v>#VALUE!</v>
      </c>
      <c r="K1077" s="2" t="e">
        <f t="shared" si="34"/>
        <v>#VALUE!</v>
      </c>
      <c r="L1077" s="1" t="e">
        <f>SUMIF('[1]Map_Meso-Ox'!$C:$C,A1077,'[1]Map_Meso-Ox'!$E:$E)</f>
        <v>#VALUE!</v>
      </c>
      <c r="M1077" s="2" t="e">
        <f t="shared" si="35"/>
        <v>#VALUE!</v>
      </c>
    </row>
    <row r="1078" spans="1:13" x14ac:dyDescent="0.25">
      <c r="A1078">
        <v>87</v>
      </c>
      <c r="B1078">
        <v>3</v>
      </c>
      <c r="C1078">
        <v>42.451999999999998</v>
      </c>
      <c r="D1078">
        <v>0</v>
      </c>
      <c r="E1078" t="s">
        <v>22</v>
      </c>
      <c r="F1078">
        <v>0</v>
      </c>
      <c r="G1078">
        <f>COUNTIF(E:E,E1078)</f>
        <v>110</v>
      </c>
      <c r="H1078">
        <f>COUNTIFS(E:E,E1078,A:A,A1078,D:D,D1078)</f>
        <v>1</v>
      </c>
      <c r="I1078" t="e">
        <f>SUMIF([1]Mapeamento!$J:$J,A1078,[1]Mapeamento!$L:$L)</f>
        <v>#VALUE!</v>
      </c>
      <c r="J1078" s="1" t="e">
        <f>SUMIF('[1]Map_Meso-Ox'!$C:$C,A1078,'[1]Map_Meso-Ox'!$D:$D)</f>
        <v>#VALUE!</v>
      </c>
      <c r="K1078" s="2" t="e">
        <f t="shared" si="34"/>
        <v>#VALUE!</v>
      </c>
      <c r="L1078" s="1" t="e">
        <f>SUMIF('[1]Map_Meso-Ox'!$C:$C,A1078,'[1]Map_Meso-Ox'!$E:$E)</f>
        <v>#VALUE!</v>
      </c>
      <c r="M1078" s="2" t="e">
        <f t="shared" si="35"/>
        <v>#VALUE!</v>
      </c>
    </row>
    <row r="1079" spans="1:13" x14ac:dyDescent="0.25">
      <c r="A1079">
        <v>88</v>
      </c>
      <c r="B1079">
        <v>3</v>
      </c>
      <c r="C1079">
        <v>30.571000000000002</v>
      </c>
      <c r="D1079">
        <v>2.3E-3</v>
      </c>
      <c r="E1079" t="s">
        <v>22</v>
      </c>
      <c r="F1079">
        <v>0</v>
      </c>
      <c r="G1079">
        <f>COUNTIF(E:E,E1079)</f>
        <v>110</v>
      </c>
      <c r="H1079">
        <f>COUNTIFS(E:E,E1079,A:A,A1079,D:D,D1079)</f>
        <v>1</v>
      </c>
      <c r="I1079" t="e">
        <f>SUMIF([1]Mapeamento!$J:$J,A1079,[1]Mapeamento!$L:$L)</f>
        <v>#VALUE!</v>
      </c>
      <c r="J1079" s="1" t="e">
        <f>SUMIF('[1]Map_Meso-Ox'!$C:$C,A1079,'[1]Map_Meso-Ox'!$D:$D)</f>
        <v>#VALUE!</v>
      </c>
      <c r="K1079" s="2" t="e">
        <f t="shared" si="34"/>
        <v>#VALUE!</v>
      </c>
      <c r="L1079" s="1" t="e">
        <f>SUMIF('[1]Map_Meso-Ox'!$C:$C,A1079,'[1]Map_Meso-Ox'!$E:$E)</f>
        <v>#VALUE!</v>
      </c>
      <c r="M1079" s="2" t="e">
        <f t="shared" si="35"/>
        <v>#VALUE!</v>
      </c>
    </row>
    <row r="1080" spans="1:13" x14ac:dyDescent="0.25">
      <c r="A1080">
        <v>89</v>
      </c>
      <c r="B1080">
        <v>3</v>
      </c>
      <c r="C1080">
        <v>26.847000000000001</v>
      </c>
      <c r="D1080">
        <v>8.0999999999999996E-3</v>
      </c>
      <c r="E1080" t="s">
        <v>22</v>
      </c>
      <c r="F1080">
        <v>0</v>
      </c>
      <c r="G1080">
        <f>COUNTIF(E:E,E1080)</f>
        <v>110</v>
      </c>
      <c r="H1080">
        <f>COUNTIFS(E:E,E1080,A:A,A1080,D:D,D1080)</f>
        <v>1</v>
      </c>
      <c r="I1080" t="e">
        <f>SUMIF([1]Mapeamento!$J:$J,A1080,[1]Mapeamento!$L:$L)</f>
        <v>#VALUE!</v>
      </c>
      <c r="J1080" s="1" t="e">
        <f>SUMIF('[1]Map_Meso-Ox'!$C:$C,A1080,'[1]Map_Meso-Ox'!$D:$D)</f>
        <v>#VALUE!</v>
      </c>
      <c r="K1080" s="2" t="e">
        <f t="shared" si="34"/>
        <v>#VALUE!</v>
      </c>
      <c r="L1080" s="1" t="e">
        <f>SUMIF('[1]Map_Meso-Ox'!$C:$C,A1080,'[1]Map_Meso-Ox'!$E:$E)</f>
        <v>#VALUE!</v>
      </c>
      <c r="M1080" s="2" t="e">
        <f t="shared" si="35"/>
        <v>#VALUE!</v>
      </c>
    </row>
    <row r="1081" spans="1:13" x14ac:dyDescent="0.25">
      <c r="A1081">
        <v>90</v>
      </c>
      <c r="B1081">
        <v>3</v>
      </c>
      <c r="C1081">
        <v>51.021000000000001</v>
      </c>
      <c r="D1081">
        <v>0</v>
      </c>
      <c r="E1081" t="s">
        <v>22</v>
      </c>
      <c r="F1081">
        <v>1</v>
      </c>
      <c r="G1081">
        <f>COUNTIF(E:E,E1081)</f>
        <v>110</v>
      </c>
      <c r="H1081">
        <f>COUNTIFS(E:E,E1081,A:A,A1081,D:D,D1081)</f>
        <v>1</v>
      </c>
      <c r="I1081" t="e">
        <f>SUMIF([1]Mapeamento!$J:$J,A1081,[1]Mapeamento!$L:$L)</f>
        <v>#VALUE!</v>
      </c>
      <c r="J1081" s="1" t="e">
        <f>SUMIF('[1]Map_Meso-Ox'!$C:$C,A1081,'[1]Map_Meso-Ox'!$D:$D)</f>
        <v>#VALUE!</v>
      </c>
      <c r="K1081" s="2" t="e">
        <f t="shared" si="34"/>
        <v>#VALUE!</v>
      </c>
      <c r="L1081" s="1" t="e">
        <f>SUMIF('[1]Map_Meso-Ox'!$C:$C,A1081,'[1]Map_Meso-Ox'!$E:$E)</f>
        <v>#VALUE!</v>
      </c>
      <c r="M1081" s="2" t="e">
        <f t="shared" si="35"/>
        <v>#VALUE!</v>
      </c>
    </row>
    <row r="1082" spans="1:13" x14ac:dyDescent="0.25">
      <c r="A1082">
        <v>91</v>
      </c>
      <c r="B1082">
        <v>3</v>
      </c>
      <c r="C1082">
        <v>57.593000000000004</v>
      </c>
      <c r="D1082">
        <v>0</v>
      </c>
      <c r="E1082" t="s">
        <v>22</v>
      </c>
      <c r="F1082">
        <v>2</v>
      </c>
      <c r="G1082">
        <f>COUNTIF(E:E,E1082)</f>
        <v>110</v>
      </c>
      <c r="H1082">
        <f>COUNTIFS(E:E,E1082,A:A,A1082,D:D,D1082)</f>
        <v>1</v>
      </c>
      <c r="I1082" t="e">
        <f>SUMIF([1]Mapeamento!$J:$J,A1082,[1]Mapeamento!$L:$L)</f>
        <v>#VALUE!</v>
      </c>
      <c r="J1082" s="1" t="e">
        <f>SUMIF('[1]Map_Meso-Ox'!$C:$C,A1082,'[1]Map_Meso-Ox'!$D:$D)</f>
        <v>#VALUE!</v>
      </c>
      <c r="K1082" s="2" t="e">
        <f t="shared" si="34"/>
        <v>#VALUE!</v>
      </c>
      <c r="L1082" s="1" t="e">
        <f>SUMIF('[1]Map_Meso-Ox'!$C:$C,A1082,'[1]Map_Meso-Ox'!$E:$E)</f>
        <v>#VALUE!</v>
      </c>
      <c r="M1082" s="2" t="e">
        <f t="shared" si="35"/>
        <v>#VALUE!</v>
      </c>
    </row>
    <row r="1083" spans="1:13" x14ac:dyDescent="0.25">
      <c r="A1083">
        <v>92</v>
      </c>
      <c r="B1083">
        <v>3</v>
      </c>
      <c r="C1083">
        <v>45.741</v>
      </c>
      <c r="D1083">
        <v>0</v>
      </c>
      <c r="E1083" t="s">
        <v>22</v>
      </c>
      <c r="F1083">
        <v>0</v>
      </c>
      <c r="G1083">
        <f>COUNTIF(E:E,E1083)</f>
        <v>110</v>
      </c>
      <c r="H1083">
        <f>COUNTIFS(E:E,E1083,A:A,A1083,D:D,D1083)</f>
        <v>1</v>
      </c>
      <c r="I1083" t="e">
        <f>SUMIF([1]Mapeamento!$J:$J,A1083,[1]Mapeamento!$L:$L)</f>
        <v>#VALUE!</v>
      </c>
      <c r="J1083" s="1" t="e">
        <f>SUMIF('[1]Map_Meso-Ox'!$C:$C,A1083,'[1]Map_Meso-Ox'!$D:$D)</f>
        <v>#VALUE!</v>
      </c>
      <c r="K1083" s="2" t="e">
        <f t="shared" si="34"/>
        <v>#VALUE!</v>
      </c>
      <c r="L1083" s="1" t="e">
        <f>SUMIF('[1]Map_Meso-Ox'!$C:$C,A1083,'[1]Map_Meso-Ox'!$E:$E)</f>
        <v>#VALUE!</v>
      </c>
      <c r="M1083" s="2" t="e">
        <f t="shared" si="35"/>
        <v>#VALUE!</v>
      </c>
    </row>
    <row r="1084" spans="1:13" x14ac:dyDescent="0.25">
      <c r="A1084">
        <v>93</v>
      </c>
      <c r="B1084">
        <v>3</v>
      </c>
      <c r="C1084">
        <v>49.591000000000001</v>
      </c>
      <c r="D1084">
        <v>0</v>
      </c>
      <c r="E1084" t="s">
        <v>22</v>
      </c>
      <c r="F1084">
        <v>0</v>
      </c>
      <c r="G1084">
        <f>COUNTIF(E:E,E1084)</f>
        <v>110</v>
      </c>
      <c r="H1084">
        <f>COUNTIFS(E:E,E1084,A:A,A1084,D:D,D1084)</f>
        <v>1</v>
      </c>
      <c r="I1084" t="e">
        <f>SUMIF([1]Mapeamento!$J:$J,A1084,[1]Mapeamento!$L:$L)</f>
        <v>#VALUE!</v>
      </c>
      <c r="J1084" s="1" t="e">
        <f>SUMIF('[1]Map_Meso-Ox'!$C:$C,A1084,'[1]Map_Meso-Ox'!$D:$D)</f>
        <v>#VALUE!</v>
      </c>
      <c r="K1084" s="2" t="e">
        <f t="shared" si="34"/>
        <v>#VALUE!</v>
      </c>
      <c r="L1084" s="1" t="e">
        <f>SUMIF('[1]Map_Meso-Ox'!$C:$C,A1084,'[1]Map_Meso-Ox'!$E:$E)</f>
        <v>#VALUE!</v>
      </c>
      <c r="M1084" s="2" t="e">
        <f t="shared" si="35"/>
        <v>#VALUE!</v>
      </c>
    </row>
    <row r="1085" spans="1:13" x14ac:dyDescent="0.25">
      <c r="A1085">
        <v>94</v>
      </c>
      <c r="B1085">
        <v>3</v>
      </c>
      <c r="C1085">
        <v>43.533000000000001</v>
      </c>
      <c r="D1085">
        <v>0</v>
      </c>
      <c r="E1085" t="s">
        <v>22</v>
      </c>
      <c r="F1085">
        <v>2</v>
      </c>
      <c r="G1085">
        <f>COUNTIF(E:E,E1085)</f>
        <v>110</v>
      </c>
      <c r="H1085">
        <f>COUNTIFS(E:E,E1085,A:A,A1085,D:D,D1085)</f>
        <v>1</v>
      </c>
      <c r="I1085" t="e">
        <f>SUMIF([1]Mapeamento!$J:$J,A1085,[1]Mapeamento!$L:$L)</f>
        <v>#VALUE!</v>
      </c>
      <c r="J1085" s="1" t="e">
        <f>SUMIF('[1]Map_Meso-Ox'!$C:$C,A1085,'[1]Map_Meso-Ox'!$D:$D)</f>
        <v>#VALUE!</v>
      </c>
      <c r="K1085" s="2" t="e">
        <f t="shared" si="34"/>
        <v>#VALUE!</v>
      </c>
      <c r="L1085" s="1" t="e">
        <f>SUMIF('[1]Map_Meso-Ox'!$C:$C,A1085,'[1]Map_Meso-Ox'!$E:$E)</f>
        <v>#VALUE!</v>
      </c>
      <c r="M1085" s="2" t="e">
        <f t="shared" si="35"/>
        <v>#VALUE!</v>
      </c>
    </row>
    <row r="1086" spans="1:13" x14ac:dyDescent="0.25">
      <c r="A1086">
        <v>95</v>
      </c>
      <c r="B1086">
        <v>3</v>
      </c>
      <c r="C1086">
        <v>28.733000000000001</v>
      </c>
      <c r="D1086">
        <v>4.3E-3</v>
      </c>
      <c r="E1086" t="s">
        <v>22</v>
      </c>
      <c r="F1086">
        <v>0</v>
      </c>
      <c r="G1086">
        <f>COUNTIF(E:E,E1086)</f>
        <v>110</v>
      </c>
      <c r="H1086">
        <f>COUNTIFS(E:E,E1086,A:A,A1086,D:D,D1086)</f>
        <v>1</v>
      </c>
      <c r="I1086" t="e">
        <f>SUMIF([1]Mapeamento!$J:$J,A1086,[1]Mapeamento!$L:$L)</f>
        <v>#VALUE!</v>
      </c>
      <c r="J1086" s="1" t="e">
        <f>SUMIF('[1]Map_Meso-Ox'!$C:$C,A1086,'[1]Map_Meso-Ox'!$D:$D)</f>
        <v>#VALUE!</v>
      </c>
      <c r="K1086" s="2" t="e">
        <f t="shared" si="34"/>
        <v>#VALUE!</v>
      </c>
      <c r="L1086" s="1" t="e">
        <f>SUMIF('[1]Map_Meso-Ox'!$C:$C,A1086,'[1]Map_Meso-Ox'!$E:$E)</f>
        <v>#VALUE!</v>
      </c>
      <c r="M1086" s="2" t="e">
        <f t="shared" si="35"/>
        <v>#VALUE!</v>
      </c>
    </row>
    <row r="1087" spans="1:13" x14ac:dyDescent="0.25">
      <c r="A1087">
        <v>96</v>
      </c>
      <c r="B1087">
        <v>3</v>
      </c>
      <c r="C1087">
        <v>41.518000000000001</v>
      </c>
      <c r="D1087">
        <v>0</v>
      </c>
      <c r="E1087" t="s">
        <v>22</v>
      </c>
      <c r="F1087">
        <v>0</v>
      </c>
      <c r="G1087">
        <f>COUNTIF(E:E,E1087)</f>
        <v>110</v>
      </c>
      <c r="H1087">
        <f>COUNTIFS(E:E,E1087,A:A,A1087,D:D,D1087)</f>
        <v>1</v>
      </c>
      <c r="I1087" t="e">
        <f>SUMIF([1]Mapeamento!$J:$J,A1087,[1]Mapeamento!$L:$L)</f>
        <v>#VALUE!</v>
      </c>
      <c r="J1087" s="1" t="e">
        <f>SUMIF('[1]Map_Meso-Ox'!$C:$C,A1087,'[1]Map_Meso-Ox'!$D:$D)</f>
        <v>#VALUE!</v>
      </c>
      <c r="K1087" s="2" t="e">
        <f t="shared" si="34"/>
        <v>#VALUE!</v>
      </c>
      <c r="L1087" s="1" t="e">
        <f>SUMIF('[1]Map_Meso-Ox'!$C:$C,A1087,'[1]Map_Meso-Ox'!$E:$E)</f>
        <v>#VALUE!</v>
      </c>
      <c r="M1087" s="2" t="e">
        <f t="shared" si="35"/>
        <v>#VALUE!</v>
      </c>
    </row>
    <row r="1088" spans="1:13" x14ac:dyDescent="0.25">
      <c r="A1088">
        <v>97</v>
      </c>
      <c r="B1088">
        <v>3</v>
      </c>
      <c r="C1088">
        <v>39.103999999999999</v>
      </c>
      <c r="D1088">
        <v>1E-4</v>
      </c>
      <c r="E1088" t="s">
        <v>22</v>
      </c>
      <c r="F1088">
        <v>1</v>
      </c>
      <c r="G1088">
        <f>COUNTIF(E:E,E1088)</f>
        <v>110</v>
      </c>
      <c r="H1088">
        <f>COUNTIFS(E:E,E1088,A:A,A1088,D:D,D1088)</f>
        <v>1</v>
      </c>
      <c r="I1088" t="e">
        <f>SUMIF([1]Mapeamento!$J:$J,A1088,[1]Mapeamento!$L:$L)</f>
        <v>#VALUE!</v>
      </c>
      <c r="J1088" s="1" t="e">
        <f>SUMIF('[1]Map_Meso-Ox'!$C:$C,A1088,'[1]Map_Meso-Ox'!$D:$D)</f>
        <v>#VALUE!</v>
      </c>
      <c r="K1088" s="2" t="e">
        <f t="shared" si="34"/>
        <v>#VALUE!</v>
      </c>
      <c r="L1088" s="1" t="e">
        <f>SUMIF('[1]Map_Meso-Ox'!$C:$C,A1088,'[1]Map_Meso-Ox'!$E:$E)</f>
        <v>#VALUE!</v>
      </c>
      <c r="M1088" s="2" t="e">
        <f t="shared" si="35"/>
        <v>#VALUE!</v>
      </c>
    </row>
    <row r="1089" spans="1:13" x14ac:dyDescent="0.25">
      <c r="A1089">
        <v>98</v>
      </c>
      <c r="B1089">
        <v>3</v>
      </c>
      <c r="C1089">
        <v>45.366999999999997</v>
      </c>
      <c r="D1089">
        <v>0</v>
      </c>
      <c r="E1089" t="s">
        <v>22</v>
      </c>
      <c r="F1089">
        <v>0</v>
      </c>
      <c r="G1089">
        <f>COUNTIF(E:E,E1089)</f>
        <v>110</v>
      </c>
      <c r="H1089">
        <f>COUNTIFS(E:E,E1089,A:A,A1089,D:D,D1089)</f>
        <v>1</v>
      </c>
      <c r="I1089" t="e">
        <f>SUMIF([1]Mapeamento!$J:$J,A1089,[1]Mapeamento!$L:$L)</f>
        <v>#VALUE!</v>
      </c>
      <c r="J1089" s="1" t="e">
        <f>SUMIF('[1]Map_Meso-Ox'!$C:$C,A1089,'[1]Map_Meso-Ox'!$D:$D)</f>
        <v>#VALUE!</v>
      </c>
      <c r="K1089" s="2" t="e">
        <f t="shared" si="34"/>
        <v>#VALUE!</v>
      </c>
      <c r="L1089" s="1" t="e">
        <f>SUMIF('[1]Map_Meso-Ox'!$C:$C,A1089,'[1]Map_Meso-Ox'!$E:$E)</f>
        <v>#VALUE!</v>
      </c>
      <c r="M1089" s="2" t="e">
        <f t="shared" si="35"/>
        <v>#VALUE!</v>
      </c>
    </row>
    <row r="1090" spans="1:13" x14ac:dyDescent="0.25">
      <c r="A1090">
        <v>99</v>
      </c>
      <c r="B1090">
        <v>3</v>
      </c>
      <c r="C1090">
        <v>57.92</v>
      </c>
      <c r="D1090">
        <v>0</v>
      </c>
      <c r="E1090" t="s">
        <v>22</v>
      </c>
      <c r="F1090">
        <v>1</v>
      </c>
      <c r="G1090">
        <f>COUNTIF(E:E,E1090)</f>
        <v>110</v>
      </c>
      <c r="H1090">
        <f>COUNTIFS(E:E,E1090,A:A,A1090,D:D,D1090)</f>
        <v>1</v>
      </c>
      <c r="I1090" t="e">
        <f>SUMIF([1]Mapeamento!$J:$J,A1090,[1]Mapeamento!$L:$L)</f>
        <v>#VALUE!</v>
      </c>
      <c r="J1090" s="1" t="e">
        <f>SUMIF('[1]Map_Meso-Ox'!$C:$C,A1090,'[1]Map_Meso-Ox'!$D:$D)</f>
        <v>#VALUE!</v>
      </c>
      <c r="K1090" s="2" t="e">
        <f t="shared" si="34"/>
        <v>#VALUE!</v>
      </c>
      <c r="L1090" s="1" t="e">
        <f>SUMIF('[1]Map_Meso-Ox'!$C:$C,A1090,'[1]Map_Meso-Ox'!$E:$E)</f>
        <v>#VALUE!</v>
      </c>
      <c r="M1090" s="2" t="e">
        <f t="shared" si="35"/>
        <v>#VALUE!</v>
      </c>
    </row>
    <row r="1091" spans="1:13" x14ac:dyDescent="0.25">
      <c r="A1091">
        <v>100</v>
      </c>
      <c r="B1091">
        <v>3</v>
      </c>
      <c r="C1091">
        <v>69.325000000000003</v>
      </c>
      <c r="D1091">
        <v>0</v>
      </c>
      <c r="E1091" t="s">
        <v>22</v>
      </c>
      <c r="F1091">
        <v>2</v>
      </c>
      <c r="G1091">
        <f>COUNTIF(E:E,E1091)</f>
        <v>110</v>
      </c>
      <c r="H1091">
        <f>COUNTIFS(E:E,E1091,A:A,A1091,D:D,D1091)</f>
        <v>1</v>
      </c>
      <c r="I1091" t="e">
        <f>SUMIF([1]Mapeamento!$J:$J,A1091,[1]Mapeamento!$L:$L)</f>
        <v>#VALUE!</v>
      </c>
      <c r="J1091" s="1" t="e">
        <f>SUMIF('[1]Map_Meso-Ox'!$C:$C,A1091,'[1]Map_Meso-Ox'!$D:$D)</f>
        <v>#VALUE!</v>
      </c>
      <c r="K1091" s="2" t="e">
        <f t="shared" si="34"/>
        <v>#VALUE!</v>
      </c>
      <c r="L1091" s="1" t="e">
        <f>SUMIF('[1]Map_Meso-Ox'!$C:$C,A1091,'[1]Map_Meso-Ox'!$E:$E)</f>
        <v>#VALUE!</v>
      </c>
      <c r="M1091" s="2" t="e">
        <f t="shared" si="35"/>
        <v>#VALUE!</v>
      </c>
    </row>
    <row r="1092" spans="1:13" x14ac:dyDescent="0.25">
      <c r="A1092">
        <v>101</v>
      </c>
      <c r="B1092">
        <v>3</v>
      </c>
      <c r="C1092">
        <v>72.748000000000005</v>
      </c>
      <c r="D1092">
        <v>0</v>
      </c>
      <c r="E1092" t="s">
        <v>22</v>
      </c>
      <c r="F1092">
        <v>2</v>
      </c>
      <c r="G1092">
        <f>COUNTIF(E:E,E1092)</f>
        <v>110</v>
      </c>
      <c r="H1092">
        <f>COUNTIFS(E:E,E1092,A:A,A1092,D:D,D1092)</f>
        <v>1</v>
      </c>
      <c r="I1092" t="e">
        <f>SUMIF([1]Mapeamento!$J:$J,A1092,[1]Mapeamento!$L:$L)</f>
        <v>#VALUE!</v>
      </c>
      <c r="J1092" s="1" t="e">
        <f>SUMIF('[1]Map_Meso-Ox'!$C:$C,A1092,'[1]Map_Meso-Ox'!$D:$D)</f>
        <v>#VALUE!</v>
      </c>
      <c r="K1092" s="2" t="e">
        <f t="shared" si="34"/>
        <v>#VALUE!</v>
      </c>
      <c r="L1092" s="1" t="e">
        <f>SUMIF('[1]Map_Meso-Ox'!$C:$C,A1092,'[1]Map_Meso-Ox'!$E:$E)</f>
        <v>#VALUE!</v>
      </c>
      <c r="M1092" s="2" t="e">
        <f t="shared" si="35"/>
        <v>#VALUE!</v>
      </c>
    </row>
    <row r="1093" spans="1:13" x14ac:dyDescent="0.25">
      <c r="A1093">
        <v>102</v>
      </c>
      <c r="B1093">
        <v>3</v>
      </c>
      <c r="C1093">
        <v>44.107999999999997</v>
      </c>
      <c r="D1093">
        <v>0</v>
      </c>
      <c r="E1093" t="s">
        <v>22</v>
      </c>
      <c r="F1093">
        <v>0</v>
      </c>
      <c r="G1093">
        <f>COUNTIF(E:E,E1093)</f>
        <v>110</v>
      </c>
      <c r="H1093">
        <f>COUNTIFS(E:E,E1093,A:A,A1093,D:D,D1093)</f>
        <v>1</v>
      </c>
      <c r="I1093" t="e">
        <f>SUMIF([1]Mapeamento!$J:$J,A1093,[1]Mapeamento!$L:$L)</f>
        <v>#VALUE!</v>
      </c>
      <c r="J1093" s="1" t="e">
        <f>SUMIF('[1]Map_Meso-Ox'!$C:$C,A1093,'[1]Map_Meso-Ox'!$D:$D)</f>
        <v>#VALUE!</v>
      </c>
      <c r="K1093" s="2" t="e">
        <f t="shared" si="34"/>
        <v>#VALUE!</v>
      </c>
      <c r="L1093" s="1" t="e">
        <f>SUMIF('[1]Map_Meso-Ox'!$C:$C,A1093,'[1]Map_Meso-Ox'!$E:$E)</f>
        <v>#VALUE!</v>
      </c>
      <c r="M1093" s="2" t="e">
        <f t="shared" si="35"/>
        <v>#VALUE!</v>
      </c>
    </row>
    <row r="1094" spans="1:13" x14ac:dyDescent="0.25">
      <c r="A1094">
        <v>103</v>
      </c>
      <c r="B1094">
        <v>3</v>
      </c>
      <c r="C1094">
        <v>59.9</v>
      </c>
      <c r="D1094">
        <v>0</v>
      </c>
      <c r="E1094" t="s">
        <v>22</v>
      </c>
      <c r="F1094">
        <v>1</v>
      </c>
      <c r="G1094">
        <f>COUNTIF(E:E,E1094)</f>
        <v>110</v>
      </c>
      <c r="H1094">
        <f>COUNTIFS(E:E,E1094,A:A,A1094,D:D,D1094)</f>
        <v>1</v>
      </c>
      <c r="I1094" t="e">
        <f>SUMIF([1]Mapeamento!$J:$J,A1094,[1]Mapeamento!$L:$L)</f>
        <v>#VALUE!</v>
      </c>
      <c r="J1094" s="1" t="e">
        <f>SUMIF('[1]Map_Meso-Ox'!$C:$C,A1094,'[1]Map_Meso-Ox'!$D:$D)</f>
        <v>#VALUE!</v>
      </c>
      <c r="K1094" s="2" t="e">
        <f t="shared" si="34"/>
        <v>#VALUE!</v>
      </c>
      <c r="L1094" s="1" t="e">
        <f>SUMIF('[1]Map_Meso-Ox'!$C:$C,A1094,'[1]Map_Meso-Ox'!$E:$E)</f>
        <v>#VALUE!</v>
      </c>
      <c r="M1094" s="2" t="e">
        <f t="shared" si="35"/>
        <v>#VALUE!</v>
      </c>
    </row>
    <row r="1095" spans="1:13" x14ac:dyDescent="0.25">
      <c r="A1095">
        <v>104</v>
      </c>
      <c r="B1095">
        <v>3</v>
      </c>
      <c r="C1095">
        <v>50.372999999999998</v>
      </c>
      <c r="D1095">
        <v>0</v>
      </c>
      <c r="E1095" t="s">
        <v>22</v>
      </c>
      <c r="F1095">
        <v>1</v>
      </c>
      <c r="G1095">
        <f>COUNTIF(E:E,E1095)</f>
        <v>110</v>
      </c>
      <c r="H1095">
        <f>COUNTIFS(E:E,E1095,A:A,A1095,D:D,D1095)</f>
        <v>1</v>
      </c>
      <c r="I1095" t="e">
        <f>SUMIF([1]Mapeamento!$J:$J,A1095,[1]Mapeamento!$L:$L)</f>
        <v>#VALUE!</v>
      </c>
      <c r="J1095" s="1" t="e">
        <f>SUMIF('[1]Map_Meso-Ox'!$C:$C,A1095,'[1]Map_Meso-Ox'!$D:$D)</f>
        <v>#VALUE!</v>
      </c>
      <c r="K1095" s="2" t="e">
        <f t="shared" si="34"/>
        <v>#VALUE!</v>
      </c>
      <c r="L1095" s="1" t="e">
        <f>SUMIF('[1]Map_Meso-Ox'!$C:$C,A1095,'[1]Map_Meso-Ox'!$E:$E)</f>
        <v>#VALUE!</v>
      </c>
      <c r="M1095" s="2" t="e">
        <f t="shared" si="35"/>
        <v>#VALUE!</v>
      </c>
    </row>
    <row r="1096" spans="1:13" x14ac:dyDescent="0.25">
      <c r="A1096">
        <v>105</v>
      </c>
      <c r="B1096">
        <v>3</v>
      </c>
      <c r="C1096">
        <v>64.111999999999995</v>
      </c>
      <c r="D1096">
        <v>0</v>
      </c>
      <c r="E1096" t="s">
        <v>22</v>
      </c>
      <c r="F1096">
        <v>2</v>
      </c>
      <c r="G1096">
        <f>COUNTIF(E:E,E1096)</f>
        <v>110</v>
      </c>
      <c r="H1096">
        <f>COUNTIFS(E:E,E1096,A:A,A1096,D:D,D1096)</f>
        <v>1</v>
      </c>
      <c r="I1096" t="e">
        <f>SUMIF([1]Mapeamento!$J:$J,A1096,[1]Mapeamento!$L:$L)</f>
        <v>#VALUE!</v>
      </c>
      <c r="J1096" s="1" t="e">
        <f>SUMIF('[1]Map_Meso-Ox'!$C:$C,A1096,'[1]Map_Meso-Ox'!$D:$D)</f>
        <v>#VALUE!</v>
      </c>
      <c r="K1096" s="2" t="e">
        <f t="shared" si="34"/>
        <v>#VALUE!</v>
      </c>
      <c r="L1096" s="1" t="e">
        <f>SUMIF('[1]Map_Meso-Ox'!$C:$C,A1096,'[1]Map_Meso-Ox'!$E:$E)</f>
        <v>#VALUE!</v>
      </c>
      <c r="M1096" s="2" t="e">
        <f t="shared" si="35"/>
        <v>#VALUE!</v>
      </c>
    </row>
    <row r="1097" spans="1:13" x14ac:dyDescent="0.25">
      <c r="A1097">
        <v>106</v>
      </c>
      <c r="B1097">
        <v>3</v>
      </c>
      <c r="C1097">
        <v>49.555999999999997</v>
      </c>
      <c r="D1097">
        <v>0</v>
      </c>
      <c r="E1097" t="s">
        <v>22</v>
      </c>
      <c r="F1097">
        <v>2</v>
      </c>
      <c r="G1097">
        <f>COUNTIF(E:E,E1097)</f>
        <v>110</v>
      </c>
      <c r="H1097">
        <f>COUNTIFS(E:E,E1097,A:A,A1097,D:D,D1097)</f>
        <v>1</v>
      </c>
      <c r="I1097" t="e">
        <f>SUMIF([1]Mapeamento!$J:$J,A1097,[1]Mapeamento!$L:$L)</f>
        <v>#VALUE!</v>
      </c>
      <c r="J1097" s="1" t="e">
        <f>SUMIF('[1]Map_Meso-Ox'!$C:$C,A1097,'[1]Map_Meso-Ox'!$D:$D)</f>
        <v>#VALUE!</v>
      </c>
      <c r="K1097" s="2" t="e">
        <f t="shared" si="34"/>
        <v>#VALUE!</v>
      </c>
      <c r="L1097" s="1" t="e">
        <f>SUMIF('[1]Map_Meso-Ox'!$C:$C,A1097,'[1]Map_Meso-Ox'!$E:$E)</f>
        <v>#VALUE!</v>
      </c>
      <c r="M1097" s="2" t="e">
        <f t="shared" si="35"/>
        <v>#VALUE!</v>
      </c>
    </row>
    <row r="1098" spans="1:13" x14ac:dyDescent="0.25">
      <c r="A1098">
        <v>107</v>
      </c>
      <c r="B1098">
        <v>3</v>
      </c>
      <c r="C1098">
        <v>45.606999999999999</v>
      </c>
      <c r="D1098">
        <v>0</v>
      </c>
      <c r="E1098" t="s">
        <v>22</v>
      </c>
      <c r="F1098">
        <v>1</v>
      </c>
      <c r="G1098">
        <f>COUNTIF(E:E,E1098)</f>
        <v>110</v>
      </c>
      <c r="H1098">
        <f>COUNTIFS(E:E,E1098,A:A,A1098,D:D,D1098)</f>
        <v>1</v>
      </c>
      <c r="I1098" t="e">
        <f>SUMIF([1]Mapeamento!$J:$J,A1098,[1]Mapeamento!$L:$L)</f>
        <v>#VALUE!</v>
      </c>
      <c r="J1098" s="1" t="e">
        <f>SUMIF('[1]Map_Meso-Ox'!$C:$C,A1098,'[1]Map_Meso-Ox'!$D:$D)</f>
        <v>#VALUE!</v>
      </c>
      <c r="K1098" s="2" t="e">
        <f t="shared" si="34"/>
        <v>#VALUE!</v>
      </c>
      <c r="L1098" s="1" t="e">
        <f>SUMIF('[1]Map_Meso-Ox'!$C:$C,A1098,'[1]Map_Meso-Ox'!$E:$E)</f>
        <v>#VALUE!</v>
      </c>
      <c r="M1098" s="2" t="e">
        <f t="shared" si="35"/>
        <v>#VALUE!</v>
      </c>
    </row>
    <row r="1099" spans="1:13" x14ac:dyDescent="0.25">
      <c r="A1099">
        <v>108</v>
      </c>
      <c r="B1099">
        <v>3</v>
      </c>
      <c r="C1099">
        <v>63.134999999999998</v>
      </c>
      <c r="D1099">
        <v>0</v>
      </c>
      <c r="E1099" t="s">
        <v>22</v>
      </c>
      <c r="F1099">
        <v>1</v>
      </c>
      <c r="G1099">
        <f>COUNTIF(E:E,E1099)</f>
        <v>110</v>
      </c>
      <c r="H1099">
        <f>COUNTIFS(E:E,E1099,A:A,A1099,D:D,D1099)</f>
        <v>1</v>
      </c>
      <c r="I1099" t="e">
        <f>SUMIF([1]Mapeamento!$J:$J,A1099,[1]Mapeamento!$L:$L)</f>
        <v>#VALUE!</v>
      </c>
      <c r="J1099" s="1" t="e">
        <f>SUMIF('[1]Map_Meso-Ox'!$C:$C,A1099,'[1]Map_Meso-Ox'!$D:$D)</f>
        <v>#VALUE!</v>
      </c>
      <c r="K1099" s="2" t="e">
        <f t="shared" si="34"/>
        <v>#VALUE!</v>
      </c>
      <c r="L1099" s="1" t="e">
        <f>SUMIF('[1]Map_Meso-Ox'!$C:$C,A1099,'[1]Map_Meso-Ox'!$E:$E)</f>
        <v>#VALUE!</v>
      </c>
      <c r="M1099" s="2" t="e">
        <f t="shared" si="35"/>
        <v>#VALUE!</v>
      </c>
    </row>
    <row r="1100" spans="1:13" x14ac:dyDescent="0.25">
      <c r="A1100">
        <v>109</v>
      </c>
      <c r="B1100">
        <v>3</v>
      </c>
      <c r="C1100">
        <v>39.643999999999998</v>
      </c>
      <c r="D1100">
        <v>1E-4</v>
      </c>
      <c r="E1100" t="s">
        <v>22</v>
      </c>
      <c r="F1100">
        <v>1</v>
      </c>
      <c r="G1100">
        <f>COUNTIF(E:E,E1100)</f>
        <v>110</v>
      </c>
      <c r="H1100">
        <f>COUNTIFS(E:E,E1100,A:A,A1100,D:D,D1100)</f>
        <v>1</v>
      </c>
      <c r="I1100" t="e">
        <f>SUMIF([1]Mapeamento!$J:$J,A1100,[1]Mapeamento!$L:$L)</f>
        <v>#VALUE!</v>
      </c>
      <c r="J1100" s="1" t="e">
        <f>SUMIF('[1]Map_Meso-Ox'!$C:$C,A1100,'[1]Map_Meso-Ox'!$D:$D)</f>
        <v>#VALUE!</v>
      </c>
      <c r="K1100" s="2" t="e">
        <f t="shared" si="34"/>
        <v>#VALUE!</v>
      </c>
      <c r="L1100" s="1" t="e">
        <f>SUMIF('[1]Map_Meso-Ox'!$C:$C,A1100,'[1]Map_Meso-Ox'!$E:$E)</f>
        <v>#VALUE!</v>
      </c>
      <c r="M1100" s="2" t="e">
        <f t="shared" si="35"/>
        <v>#VALUE!</v>
      </c>
    </row>
    <row r="1101" spans="1:13" x14ac:dyDescent="0.25">
      <c r="A1101">
        <v>110</v>
      </c>
      <c r="B1101">
        <v>3</v>
      </c>
      <c r="C1101">
        <v>75.472999999999999</v>
      </c>
      <c r="D1101">
        <v>0</v>
      </c>
      <c r="E1101" t="s">
        <v>22</v>
      </c>
      <c r="F1101">
        <v>2</v>
      </c>
      <c r="G1101">
        <f>COUNTIF(E:E,E1101)</f>
        <v>110</v>
      </c>
      <c r="H1101">
        <f>COUNTIFS(E:E,E1101,A:A,A1101,D:D,D1101)</f>
        <v>1</v>
      </c>
      <c r="I1101" t="e">
        <f>SUMIF([1]Mapeamento!$J:$J,A1101,[1]Mapeamento!$L:$L)</f>
        <v>#VALUE!</v>
      </c>
      <c r="J1101" s="1" t="e">
        <f>SUMIF('[1]Map_Meso-Ox'!$C:$C,A1101,'[1]Map_Meso-Ox'!$D:$D)</f>
        <v>#VALUE!</v>
      </c>
      <c r="K1101" s="2" t="e">
        <f t="shared" si="34"/>
        <v>#VALUE!</v>
      </c>
      <c r="L1101" s="1" t="e">
        <f>SUMIF('[1]Map_Meso-Ox'!$C:$C,A1101,'[1]Map_Meso-Ox'!$E:$E)</f>
        <v>#VALUE!</v>
      </c>
      <c r="M1101" s="2" t="e">
        <f t="shared" si="35"/>
        <v>#VALUE!</v>
      </c>
    </row>
    <row r="1102" spans="1:13" x14ac:dyDescent="0.25">
      <c r="A1102">
        <v>1</v>
      </c>
      <c r="B1102">
        <v>3</v>
      </c>
      <c r="C1102">
        <v>36.656999999999996</v>
      </c>
      <c r="D1102">
        <v>0</v>
      </c>
      <c r="E1102" t="s">
        <v>23</v>
      </c>
      <c r="F1102">
        <v>2</v>
      </c>
      <c r="G1102">
        <f>COUNTIF(E:E,E1102)</f>
        <v>110</v>
      </c>
      <c r="H1102">
        <f>COUNTIFS(E:E,E1102,A:A,A1102,D:D,D1102)</f>
        <v>1</v>
      </c>
      <c r="I1102" t="e">
        <f>SUMIF([1]Mapeamento!$J:$J,A1102,[1]Mapeamento!$L:$L)</f>
        <v>#VALUE!</v>
      </c>
      <c r="J1102" s="1" t="e">
        <f>SUMIF('[1]Map_Meso-Ox'!$C:$C,A1102,'[1]Map_Meso-Ox'!$D:$D)</f>
        <v>#VALUE!</v>
      </c>
      <c r="K1102" s="2" t="e">
        <f t="shared" si="34"/>
        <v>#VALUE!</v>
      </c>
      <c r="L1102" s="1" t="e">
        <f>SUMIF('[1]Map_Meso-Ox'!$C:$C,A1102,'[1]Map_Meso-Ox'!$E:$E)</f>
        <v>#VALUE!</v>
      </c>
      <c r="M1102" s="2" t="e">
        <f t="shared" si="35"/>
        <v>#VALUE!</v>
      </c>
    </row>
    <row r="1103" spans="1:13" x14ac:dyDescent="0.25">
      <c r="A1103">
        <v>2</v>
      </c>
      <c r="B1103">
        <v>3</v>
      </c>
      <c r="C1103">
        <v>31.873999999999999</v>
      </c>
      <c r="D1103">
        <v>1E-4</v>
      </c>
      <c r="E1103" t="s">
        <v>23</v>
      </c>
      <c r="F1103">
        <v>2</v>
      </c>
      <c r="G1103">
        <f>COUNTIF(E:E,E1103)</f>
        <v>110</v>
      </c>
      <c r="H1103">
        <f>COUNTIFS(E:E,E1103,A:A,A1103,D:D,D1103)</f>
        <v>1</v>
      </c>
      <c r="I1103" t="e">
        <f>SUMIF([1]Mapeamento!$J:$J,A1103,[1]Mapeamento!$L:$L)</f>
        <v>#VALUE!</v>
      </c>
      <c r="J1103" s="1" t="e">
        <f>SUMIF('[1]Map_Meso-Ox'!$C:$C,A1103,'[1]Map_Meso-Ox'!$D:$D)</f>
        <v>#VALUE!</v>
      </c>
      <c r="K1103" s="2" t="e">
        <f t="shared" si="34"/>
        <v>#VALUE!</v>
      </c>
      <c r="L1103" s="1" t="e">
        <f>SUMIF('[1]Map_Meso-Ox'!$C:$C,A1103,'[1]Map_Meso-Ox'!$E:$E)</f>
        <v>#VALUE!</v>
      </c>
      <c r="M1103" s="2" t="e">
        <f t="shared" si="35"/>
        <v>#VALUE!</v>
      </c>
    </row>
    <row r="1104" spans="1:13" x14ac:dyDescent="0.25">
      <c r="A1104">
        <v>3</v>
      </c>
      <c r="B1104">
        <v>3</v>
      </c>
      <c r="C1104">
        <v>22.303999999999998</v>
      </c>
      <c r="D1104">
        <v>4.4000000000000003E-3</v>
      </c>
      <c r="E1104" t="s">
        <v>23</v>
      </c>
      <c r="F1104">
        <v>1</v>
      </c>
      <c r="G1104">
        <f>COUNTIF(E:E,E1104)</f>
        <v>110</v>
      </c>
      <c r="H1104">
        <f>COUNTIFS(E:E,E1104,A:A,A1104,D:D,D1104)</f>
        <v>1</v>
      </c>
      <c r="I1104" t="e">
        <f>SUMIF([1]Mapeamento!$J:$J,A1104,[1]Mapeamento!$L:$L)</f>
        <v>#VALUE!</v>
      </c>
      <c r="J1104" s="1" t="e">
        <f>SUMIF('[1]Map_Meso-Ox'!$C:$C,A1104,'[1]Map_Meso-Ox'!$D:$D)</f>
        <v>#VALUE!</v>
      </c>
      <c r="K1104" s="2" t="e">
        <f t="shared" si="34"/>
        <v>#VALUE!</v>
      </c>
      <c r="L1104" s="1" t="e">
        <f>SUMIF('[1]Map_Meso-Ox'!$C:$C,A1104,'[1]Map_Meso-Ox'!$E:$E)</f>
        <v>#VALUE!</v>
      </c>
      <c r="M1104" s="2" t="e">
        <f t="shared" si="35"/>
        <v>#VALUE!</v>
      </c>
    </row>
    <row r="1105" spans="1:13" x14ac:dyDescent="0.25">
      <c r="A1105">
        <v>4</v>
      </c>
      <c r="B1105">
        <v>3</v>
      </c>
      <c r="C1105">
        <v>22.39</v>
      </c>
      <c r="D1105">
        <v>4.1999999999999997E-3</v>
      </c>
      <c r="E1105" t="s">
        <v>23</v>
      </c>
      <c r="F1105">
        <v>1</v>
      </c>
      <c r="G1105">
        <f>COUNTIF(E:E,E1105)</f>
        <v>110</v>
      </c>
      <c r="H1105">
        <f>COUNTIFS(E:E,E1105,A:A,A1105,D:D,D1105)</f>
        <v>1</v>
      </c>
      <c r="I1105" t="e">
        <f>SUMIF([1]Mapeamento!$J:$J,A1105,[1]Mapeamento!$L:$L)</f>
        <v>#VALUE!</v>
      </c>
      <c r="J1105" s="1" t="e">
        <f>SUMIF('[1]Map_Meso-Ox'!$C:$C,A1105,'[1]Map_Meso-Ox'!$D:$D)</f>
        <v>#VALUE!</v>
      </c>
      <c r="K1105" s="2" t="e">
        <f t="shared" si="34"/>
        <v>#VALUE!</v>
      </c>
      <c r="L1105" s="1" t="e">
        <f>SUMIF('[1]Map_Meso-Ox'!$C:$C,A1105,'[1]Map_Meso-Ox'!$E:$E)</f>
        <v>#VALUE!</v>
      </c>
      <c r="M1105" s="2" t="e">
        <f t="shared" si="35"/>
        <v>#VALUE!</v>
      </c>
    </row>
    <row r="1106" spans="1:13" x14ac:dyDescent="0.25">
      <c r="A1106">
        <v>5</v>
      </c>
      <c r="B1106">
        <v>3</v>
      </c>
      <c r="C1106">
        <v>17.872</v>
      </c>
      <c r="D1106">
        <v>2.2200000000000001E-2</v>
      </c>
      <c r="E1106" t="s">
        <v>23</v>
      </c>
      <c r="F1106">
        <v>0</v>
      </c>
      <c r="G1106">
        <f>COUNTIF(E:E,E1106)</f>
        <v>110</v>
      </c>
      <c r="H1106">
        <f>COUNTIFS(E:E,E1106,A:A,A1106,D:D,D1106)</f>
        <v>1</v>
      </c>
      <c r="I1106" t="e">
        <f>SUMIF([1]Mapeamento!$J:$J,A1106,[1]Mapeamento!$L:$L)</f>
        <v>#VALUE!</v>
      </c>
      <c r="J1106" s="1" t="e">
        <f>SUMIF('[1]Map_Meso-Ox'!$C:$C,A1106,'[1]Map_Meso-Ox'!$D:$D)</f>
        <v>#VALUE!</v>
      </c>
      <c r="K1106" s="2" t="e">
        <f t="shared" si="34"/>
        <v>#VALUE!</v>
      </c>
      <c r="L1106" s="1" t="e">
        <f>SUMIF('[1]Map_Meso-Ox'!$C:$C,A1106,'[1]Map_Meso-Ox'!$E:$E)</f>
        <v>#VALUE!</v>
      </c>
      <c r="M1106" s="2" t="e">
        <f t="shared" si="35"/>
        <v>#VALUE!</v>
      </c>
    </row>
    <row r="1107" spans="1:13" x14ac:dyDescent="0.25">
      <c r="A1107">
        <v>6</v>
      </c>
      <c r="B1107">
        <v>3</v>
      </c>
      <c r="C1107">
        <v>22.233000000000001</v>
      </c>
      <c r="D1107">
        <v>4.4999999999999997E-3</v>
      </c>
      <c r="E1107" t="s">
        <v>23</v>
      </c>
      <c r="F1107">
        <v>1</v>
      </c>
      <c r="G1107">
        <f>COUNTIF(E:E,E1107)</f>
        <v>110</v>
      </c>
      <c r="H1107">
        <f>COUNTIFS(E:E,E1107,A:A,A1107,D:D,D1107)</f>
        <v>1</v>
      </c>
      <c r="I1107" t="e">
        <f>SUMIF([1]Mapeamento!$J:$J,A1107,[1]Mapeamento!$L:$L)</f>
        <v>#VALUE!</v>
      </c>
      <c r="J1107" s="1" t="e">
        <f>SUMIF('[1]Map_Meso-Ox'!$C:$C,A1107,'[1]Map_Meso-Ox'!$D:$D)</f>
        <v>#VALUE!</v>
      </c>
      <c r="K1107" s="2" t="e">
        <f t="shared" si="34"/>
        <v>#VALUE!</v>
      </c>
      <c r="L1107" s="1" t="e">
        <f>SUMIF('[1]Map_Meso-Ox'!$C:$C,A1107,'[1]Map_Meso-Ox'!$E:$E)</f>
        <v>#VALUE!</v>
      </c>
      <c r="M1107" s="2" t="e">
        <f t="shared" si="35"/>
        <v>#VALUE!</v>
      </c>
    </row>
    <row r="1108" spans="1:13" x14ac:dyDescent="0.25">
      <c r="A1108">
        <v>7</v>
      </c>
      <c r="B1108">
        <v>3</v>
      </c>
      <c r="C1108">
        <v>22.977</v>
      </c>
      <c r="D1108">
        <v>3.3999999999999998E-3</v>
      </c>
      <c r="E1108" t="s">
        <v>23</v>
      </c>
      <c r="F1108">
        <v>1</v>
      </c>
      <c r="G1108">
        <f>COUNTIF(E:E,E1108)</f>
        <v>110</v>
      </c>
      <c r="H1108">
        <f>COUNTIFS(E:E,E1108,A:A,A1108,D:D,D1108)</f>
        <v>1</v>
      </c>
      <c r="I1108" t="e">
        <f>SUMIF([1]Mapeamento!$J:$J,A1108,[1]Mapeamento!$L:$L)</f>
        <v>#VALUE!</v>
      </c>
      <c r="J1108" s="1" t="e">
        <f>SUMIF('[1]Map_Meso-Ox'!$C:$C,A1108,'[1]Map_Meso-Ox'!$D:$D)</f>
        <v>#VALUE!</v>
      </c>
      <c r="K1108" s="2" t="e">
        <f t="shared" si="34"/>
        <v>#VALUE!</v>
      </c>
      <c r="L1108" s="1" t="e">
        <f>SUMIF('[1]Map_Meso-Ox'!$C:$C,A1108,'[1]Map_Meso-Ox'!$E:$E)</f>
        <v>#VALUE!</v>
      </c>
      <c r="M1108" s="2" t="e">
        <f t="shared" si="35"/>
        <v>#VALUE!</v>
      </c>
    </row>
    <row r="1109" spans="1:13" x14ac:dyDescent="0.25">
      <c r="A1109">
        <v>8</v>
      </c>
      <c r="B1109">
        <v>3</v>
      </c>
      <c r="C1109">
        <v>26.134</v>
      </c>
      <c r="D1109">
        <v>1E-3</v>
      </c>
      <c r="E1109" t="s">
        <v>23</v>
      </c>
      <c r="F1109">
        <v>0</v>
      </c>
      <c r="G1109">
        <f>COUNTIF(E:E,E1109)</f>
        <v>110</v>
      </c>
      <c r="H1109">
        <f>COUNTIFS(E:E,E1109,A:A,A1109,D:D,D1109)</f>
        <v>1</v>
      </c>
      <c r="I1109" t="e">
        <f>SUMIF([1]Mapeamento!$J:$J,A1109,[1]Mapeamento!$L:$L)</f>
        <v>#VALUE!</v>
      </c>
      <c r="J1109" s="1" t="e">
        <f>SUMIF('[1]Map_Meso-Ox'!$C:$C,A1109,'[1]Map_Meso-Ox'!$D:$D)</f>
        <v>#VALUE!</v>
      </c>
      <c r="K1109" s="2" t="e">
        <f t="shared" si="34"/>
        <v>#VALUE!</v>
      </c>
      <c r="L1109" s="1" t="e">
        <f>SUMIF('[1]Map_Meso-Ox'!$C:$C,A1109,'[1]Map_Meso-Ox'!$E:$E)</f>
        <v>#VALUE!</v>
      </c>
      <c r="M1109" s="2" t="e">
        <f t="shared" si="35"/>
        <v>#VALUE!</v>
      </c>
    </row>
    <row r="1110" spans="1:13" x14ac:dyDescent="0.25">
      <c r="A1110">
        <v>9</v>
      </c>
      <c r="B1110">
        <v>3</v>
      </c>
      <c r="C1110">
        <v>27.684000000000001</v>
      </c>
      <c r="D1110">
        <v>5.0000000000000001E-4</v>
      </c>
      <c r="E1110" t="s">
        <v>23</v>
      </c>
      <c r="F1110">
        <v>0</v>
      </c>
      <c r="G1110">
        <f>COUNTIF(E:E,E1110)</f>
        <v>110</v>
      </c>
      <c r="H1110">
        <f>COUNTIFS(E:E,E1110,A:A,A1110,D:D,D1110)</f>
        <v>1</v>
      </c>
      <c r="I1110" t="e">
        <f>SUMIF([1]Mapeamento!$J:$J,A1110,[1]Mapeamento!$L:$L)</f>
        <v>#VALUE!</v>
      </c>
      <c r="J1110" s="1" t="e">
        <f>SUMIF('[1]Map_Meso-Ox'!$C:$C,A1110,'[1]Map_Meso-Ox'!$D:$D)</f>
        <v>#VALUE!</v>
      </c>
      <c r="K1110" s="2" t="e">
        <f t="shared" si="34"/>
        <v>#VALUE!</v>
      </c>
      <c r="L1110" s="1" t="e">
        <f>SUMIF('[1]Map_Meso-Ox'!$C:$C,A1110,'[1]Map_Meso-Ox'!$E:$E)</f>
        <v>#VALUE!</v>
      </c>
      <c r="M1110" s="2" t="e">
        <f t="shared" si="35"/>
        <v>#VALUE!</v>
      </c>
    </row>
    <row r="1111" spans="1:13" x14ac:dyDescent="0.25">
      <c r="A1111">
        <v>10</v>
      </c>
      <c r="B1111">
        <v>3</v>
      </c>
      <c r="C1111">
        <v>13.975</v>
      </c>
      <c r="D1111">
        <v>8.2400000000000001E-2</v>
      </c>
      <c r="E1111" t="s">
        <v>23</v>
      </c>
      <c r="F1111">
        <v>0</v>
      </c>
      <c r="G1111">
        <f>COUNTIF(E:E,E1111)</f>
        <v>110</v>
      </c>
      <c r="H1111">
        <f>COUNTIFS(E:E,E1111,A:A,A1111,D:D,D1111)</f>
        <v>1</v>
      </c>
      <c r="I1111" t="e">
        <f>SUMIF([1]Mapeamento!$J:$J,A1111,[1]Mapeamento!$L:$L)</f>
        <v>#VALUE!</v>
      </c>
      <c r="J1111" s="1" t="e">
        <f>SUMIF('[1]Map_Meso-Ox'!$C:$C,A1111,'[1]Map_Meso-Ox'!$D:$D)</f>
        <v>#VALUE!</v>
      </c>
      <c r="K1111" s="2" t="e">
        <f t="shared" si="34"/>
        <v>#VALUE!</v>
      </c>
      <c r="L1111" s="1" t="e">
        <f>SUMIF('[1]Map_Meso-Ox'!$C:$C,A1111,'[1]Map_Meso-Ox'!$E:$E)</f>
        <v>#VALUE!</v>
      </c>
      <c r="M1111" s="2" t="e">
        <f t="shared" si="35"/>
        <v>#VALUE!</v>
      </c>
    </row>
    <row r="1112" spans="1:13" x14ac:dyDescent="0.25">
      <c r="A1112">
        <v>11</v>
      </c>
      <c r="B1112">
        <v>3</v>
      </c>
      <c r="C1112">
        <v>22.718</v>
      </c>
      <c r="D1112">
        <v>3.7000000000000002E-3</v>
      </c>
      <c r="E1112" t="s">
        <v>23</v>
      </c>
      <c r="F1112">
        <v>0</v>
      </c>
      <c r="G1112">
        <f>COUNTIF(E:E,E1112)</f>
        <v>110</v>
      </c>
      <c r="H1112">
        <f>COUNTIFS(E:E,E1112,A:A,A1112,D:D,D1112)</f>
        <v>1</v>
      </c>
      <c r="I1112" t="e">
        <f>SUMIF([1]Mapeamento!$J:$J,A1112,[1]Mapeamento!$L:$L)</f>
        <v>#VALUE!</v>
      </c>
      <c r="J1112" s="1" t="e">
        <f>SUMIF('[1]Map_Meso-Ox'!$C:$C,A1112,'[1]Map_Meso-Ox'!$D:$D)</f>
        <v>#VALUE!</v>
      </c>
      <c r="K1112" s="2" t="e">
        <f t="shared" si="34"/>
        <v>#VALUE!</v>
      </c>
      <c r="L1112" s="1" t="e">
        <f>SUMIF('[1]Map_Meso-Ox'!$C:$C,A1112,'[1]Map_Meso-Ox'!$E:$E)</f>
        <v>#VALUE!</v>
      </c>
      <c r="M1112" s="2" t="e">
        <f t="shared" si="35"/>
        <v>#VALUE!</v>
      </c>
    </row>
    <row r="1113" spans="1:13" x14ac:dyDescent="0.25">
      <c r="A1113">
        <v>12</v>
      </c>
      <c r="B1113">
        <v>3</v>
      </c>
      <c r="C1113">
        <v>31.28</v>
      </c>
      <c r="D1113">
        <v>1E-4</v>
      </c>
      <c r="E1113" t="s">
        <v>23</v>
      </c>
      <c r="F1113">
        <v>1</v>
      </c>
      <c r="G1113">
        <f>COUNTIF(E:E,E1113)</f>
        <v>110</v>
      </c>
      <c r="H1113">
        <f>COUNTIFS(E:E,E1113,A:A,A1113,D:D,D1113)</f>
        <v>1</v>
      </c>
      <c r="I1113" t="e">
        <f>SUMIF([1]Mapeamento!$J:$J,A1113,[1]Mapeamento!$L:$L)</f>
        <v>#VALUE!</v>
      </c>
      <c r="J1113" s="1" t="e">
        <f>SUMIF('[1]Map_Meso-Ox'!$C:$C,A1113,'[1]Map_Meso-Ox'!$D:$D)</f>
        <v>#VALUE!</v>
      </c>
      <c r="K1113" s="2" t="e">
        <f t="shared" si="34"/>
        <v>#VALUE!</v>
      </c>
      <c r="L1113" s="1" t="e">
        <f>SUMIF('[1]Map_Meso-Ox'!$C:$C,A1113,'[1]Map_Meso-Ox'!$E:$E)</f>
        <v>#VALUE!</v>
      </c>
      <c r="M1113" s="2" t="e">
        <f t="shared" si="35"/>
        <v>#VALUE!</v>
      </c>
    </row>
    <row r="1114" spans="1:13" x14ac:dyDescent="0.25">
      <c r="A1114">
        <v>13</v>
      </c>
      <c r="B1114">
        <v>3</v>
      </c>
      <c r="C1114">
        <v>34.838999999999999</v>
      </c>
      <c r="D1114">
        <v>0</v>
      </c>
      <c r="E1114" t="s">
        <v>23</v>
      </c>
      <c r="F1114">
        <v>1</v>
      </c>
      <c r="G1114">
        <f>COUNTIF(E:E,E1114)</f>
        <v>110</v>
      </c>
      <c r="H1114">
        <f>COUNTIFS(E:E,E1114,A:A,A1114,D:D,D1114)</f>
        <v>1</v>
      </c>
      <c r="I1114" t="e">
        <f>SUMIF([1]Mapeamento!$J:$J,A1114,[1]Mapeamento!$L:$L)</f>
        <v>#VALUE!</v>
      </c>
      <c r="J1114" s="1" t="e">
        <f>SUMIF('[1]Map_Meso-Ox'!$C:$C,A1114,'[1]Map_Meso-Ox'!$D:$D)</f>
        <v>#VALUE!</v>
      </c>
      <c r="K1114" s="2" t="e">
        <f t="shared" si="34"/>
        <v>#VALUE!</v>
      </c>
      <c r="L1114" s="1" t="e">
        <f>SUMIF('[1]Map_Meso-Ox'!$C:$C,A1114,'[1]Map_Meso-Ox'!$E:$E)</f>
        <v>#VALUE!</v>
      </c>
      <c r="M1114" s="2" t="e">
        <f t="shared" si="35"/>
        <v>#VALUE!</v>
      </c>
    </row>
    <row r="1115" spans="1:13" x14ac:dyDescent="0.25">
      <c r="A1115">
        <v>14</v>
      </c>
      <c r="B1115">
        <v>3</v>
      </c>
      <c r="C1115">
        <v>22.914999999999999</v>
      </c>
      <c r="D1115">
        <v>3.5000000000000001E-3</v>
      </c>
      <c r="E1115" t="s">
        <v>23</v>
      </c>
      <c r="F1115">
        <v>1</v>
      </c>
      <c r="G1115">
        <f>COUNTIF(E:E,E1115)</f>
        <v>110</v>
      </c>
      <c r="H1115">
        <f>COUNTIFS(E:E,E1115,A:A,A1115,D:D,D1115)</f>
        <v>1</v>
      </c>
      <c r="I1115" t="e">
        <f>SUMIF([1]Mapeamento!$J:$J,A1115,[1]Mapeamento!$L:$L)</f>
        <v>#VALUE!</v>
      </c>
      <c r="J1115" s="1" t="e">
        <f>SUMIF('[1]Map_Meso-Ox'!$C:$C,A1115,'[1]Map_Meso-Ox'!$D:$D)</f>
        <v>#VALUE!</v>
      </c>
      <c r="K1115" s="2" t="e">
        <f t="shared" si="34"/>
        <v>#VALUE!</v>
      </c>
      <c r="L1115" s="1" t="e">
        <f>SUMIF('[1]Map_Meso-Ox'!$C:$C,A1115,'[1]Map_Meso-Ox'!$E:$E)</f>
        <v>#VALUE!</v>
      </c>
      <c r="M1115" s="2" t="e">
        <f t="shared" si="35"/>
        <v>#VALUE!</v>
      </c>
    </row>
    <row r="1116" spans="1:13" x14ac:dyDescent="0.25">
      <c r="A1116">
        <v>15</v>
      </c>
      <c r="B1116">
        <v>3</v>
      </c>
      <c r="C1116">
        <v>25.727</v>
      </c>
      <c r="D1116">
        <v>1.1999999999999999E-3</v>
      </c>
      <c r="E1116" t="s">
        <v>23</v>
      </c>
      <c r="F1116">
        <v>0</v>
      </c>
      <c r="G1116">
        <f>COUNTIF(E:E,E1116)</f>
        <v>110</v>
      </c>
      <c r="H1116">
        <f>COUNTIFS(E:E,E1116,A:A,A1116,D:D,D1116)</f>
        <v>1</v>
      </c>
      <c r="I1116" t="e">
        <f>SUMIF([1]Mapeamento!$J:$J,A1116,[1]Mapeamento!$L:$L)</f>
        <v>#VALUE!</v>
      </c>
      <c r="J1116" s="1" t="e">
        <f>SUMIF('[1]Map_Meso-Ox'!$C:$C,A1116,'[1]Map_Meso-Ox'!$D:$D)</f>
        <v>#VALUE!</v>
      </c>
      <c r="K1116" s="2" t="e">
        <f t="shared" si="34"/>
        <v>#VALUE!</v>
      </c>
      <c r="L1116" s="1" t="e">
        <f>SUMIF('[1]Map_Meso-Ox'!$C:$C,A1116,'[1]Map_Meso-Ox'!$E:$E)</f>
        <v>#VALUE!</v>
      </c>
      <c r="M1116" s="2" t="e">
        <f t="shared" si="35"/>
        <v>#VALUE!</v>
      </c>
    </row>
    <row r="1117" spans="1:13" x14ac:dyDescent="0.25">
      <c r="A1117">
        <v>16</v>
      </c>
      <c r="B1117">
        <v>3</v>
      </c>
      <c r="C1117">
        <v>34.49</v>
      </c>
      <c r="D1117">
        <v>0</v>
      </c>
      <c r="E1117" t="s">
        <v>23</v>
      </c>
      <c r="F1117">
        <v>1</v>
      </c>
      <c r="G1117">
        <f>COUNTIF(E:E,E1117)</f>
        <v>110</v>
      </c>
      <c r="H1117">
        <f>COUNTIFS(E:E,E1117,A:A,A1117,D:D,D1117)</f>
        <v>1</v>
      </c>
      <c r="I1117" t="e">
        <f>SUMIF([1]Mapeamento!$J:$J,A1117,[1]Mapeamento!$L:$L)</f>
        <v>#VALUE!</v>
      </c>
      <c r="J1117" s="1" t="e">
        <f>SUMIF('[1]Map_Meso-Ox'!$C:$C,A1117,'[1]Map_Meso-Ox'!$D:$D)</f>
        <v>#VALUE!</v>
      </c>
      <c r="K1117" s="2" t="e">
        <f t="shared" si="34"/>
        <v>#VALUE!</v>
      </c>
      <c r="L1117" s="1" t="e">
        <f>SUMIF('[1]Map_Meso-Ox'!$C:$C,A1117,'[1]Map_Meso-Ox'!$E:$E)</f>
        <v>#VALUE!</v>
      </c>
      <c r="M1117" s="2" t="e">
        <f t="shared" si="35"/>
        <v>#VALUE!</v>
      </c>
    </row>
    <row r="1118" spans="1:13" x14ac:dyDescent="0.25">
      <c r="A1118">
        <v>17</v>
      </c>
      <c r="B1118">
        <v>3</v>
      </c>
      <c r="C1118">
        <v>38.298999999999999</v>
      </c>
      <c r="D1118">
        <v>0</v>
      </c>
      <c r="E1118" t="s">
        <v>23</v>
      </c>
      <c r="F1118">
        <v>3</v>
      </c>
      <c r="G1118">
        <f>COUNTIF(E:E,E1118)</f>
        <v>110</v>
      </c>
      <c r="H1118">
        <f>COUNTIFS(E:E,E1118,A:A,A1118,D:D,D1118)</f>
        <v>1</v>
      </c>
      <c r="I1118" t="e">
        <f>SUMIF([1]Mapeamento!$J:$J,A1118,[1]Mapeamento!$L:$L)</f>
        <v>#VALUE!</v>
      </c>
      <c r="J1118" s="1" t="e">
        <f>SUMIF('[1]Map_Meso-Ox'!$C:$C,A1118,'[1]Map_Meso-Ox'!$D:$D)</f>
        <v>#VALUE!</v>
      </c>
      <c r="K1118" s="2" t="e">
        <f t="shared" si="34"/>
        <v>#VALUE!</v>
      </c>
      <c r="L1118" s="1" t="e">
        <f>SUMIF('[1]Map_Meso-Ox'!$C:$C,A1118,'[1]Map_Meso-Ox'!$E:$E)</f>
        <v>#VALUE!</v>
      </c>
      <c r="M1118" s="2" t="e">
        <f t="shared" si="35"/>
        <v>#VALUE!</v>
      </c>
    </row>
    <row r="1119" spans="1:13" x14ac:dyDescent="0.25">
      <c r="A1119">
        <v>18</v>
      </c>
      <c r="B1119">
        <v>3</v>
      </c>
      <c r="C1119">
        <v>39.658000000000001</v>
      </c>
      <c r="D1119">
        <v>0</v>
      </c>
      <c r="E1119" t="s">
        <v>23</v>
      </c>
      <c r="F1119">
        <v>3</v>
      </c>
      <c r="G1119">
        <f>COUNTIF(E:E,E1119)</f>
        <v>110</v>
      </c>
      <c r="H1119">
        <f>COUNTIFS(E:E,E1119,A:A,A1119,D:D,D1119)</f>
        <v>1</v>
      </c>
      <c r="I1119" t="e">
        <f>SUMIF([1]Mapeamento!$J:$J,A1119,[1]Mapeamento!$L:$L)</f>
        <v>#VALUE!</v>
      </c>
      <c r="J1119" s="1" t="e">
        <f>SUMIF('[1]Map_Meso-Ox'!$C:$C,A1119,'[1]Map_Meso-Ox'!$D:$D)</f>
        <v>#VALUE!</v>
      </c>
      <c r="K1119" s="2" t="e">
        <f t="shared" si="34"/>
        <v>#VALUE!</v>
      </c>
      <c r="L1119" s="1" t="e">
        <f>SUMIF('[1]Map_Meso-Ox'!$C:$C,A1119,'[1]Map_Meso-Ox'!$E:$E)</f>
        <v>#VALUE!</v>
      </c>
      <c r="M1119" s="2" t="e">
        <f t="shared" si="35"/>
        <v>#VALUE!</v>
      </c>
    </row>
    <row r="1120" spans="1:13" x14ac:dyDescent="0.25">
      <c r="A1120">
        <v>19</v>
      </c>
      <c r="B1120">
        <v>3</v>
      </c>
      <c r="C1120">
        <v>30.440999999999999</v>
      </c>
      <c r="D1120">
        <v>2.0000000000000001E-4</v>
      </c>
      <c r="E1120" t="s">
        <v>23</v>
      </c>
      <c r="F1120">
        <v>2</v>
      </c>
      <c r="G1120">
        <f>COUNTIF(E:E,E1120)</f>
        <v>110</v>
      </c>
      <c r="H1120">
        <f>COUNTIFS(E:E,E1120,A:A,A1120,D:D,D1120)</f>
        <v>1</v>
      </c>
      <c r="I1120" t="e">
        <f>SUMIF([1]Mapeamento!$J:$J,A1120,[1]Mapeamento!$L:$L)</f>
        <v>#VALUE!</v>
      </c>
      <c r="J1120" s="1" t="e">
        <f>SUMIF('[1]Map_Meso-Ox'!$C:$C,A1120,'[1]Map_Meso-Ox'!$D:$D)</f>
        <v>#VALUE!</v>
      </c>
      <c r="K1120" s="2" t="e">
        <f t="shared" ref="K1120:K1183" si="36">J1120/203401269</f>
        <v>#VALUE!</v>
      </c>
      <c r="L1120" s="1" t="e">
        <f>SUMIF('[1]Map_Meso-Ox'!$C:$C,A1120,'[1]Map_Meso-Ox'!$E:$E)</f>
        <v>#VALUE!</v>
      </c>
      <c r="M1120" s="2" t="e">
        <f t="shared" ref="M1120:M1183" si="37">L1120/3868725997.715</f>
        <v>#VALUE!</v>
      </c>
    </row>
    <row r="1121" spans="1:13" x14ac:dyDescent="0.25">
      <c r="A1121">
        <v>20</v>
      </c>
      <c r="B1121">
        <v>3</v>
      </c>
      <c r="C1121">
        <v>39.768999999999998</v>
      </c>
      <c r="D1121">
        <v>0</v>
      </c>
      <c r="E1121" t="s">
        <v>23</v>
      </c>
      <c r="F1121">
        <v>2</v>
      </c>
      <c r="G1121">
        <f>COUNTIF(E:E,E1121)</f>
        <v>110</v>
      </c>
      <c r="H1121">
        <f>COUNTIFS(E:E,E1121,A:A,A1121,D:D,D1121)</f>
        <v>1</v>
      </c>
      <c r="I1121" t="e">
        <f>SUMIF([1]Mapeamento!$J:$J,A1121,[1]Mapeamento!$L:$L)</f>
        <v>#VALUE!</v>
      </c>
      <c r="J1121" s="1" t="e">
        <f>SUMIF('[1]Map_Meso-Ox'!$C:$C,A1121,'[1]Map_Meso-Ox'!$D:$D)</f>
        <v>#VALUE!</v>
      </c>
      <c r="K1121" s="2" t="e">
        <f t="shared" si="36"/>
        <v>#VALUE!</v>
      </c>
      <c r="L1121" s="1" t="e">
        <f>SUMIF('[1]Map_Meso-Ox'!$C:$C,A1121,'[1]Map_Meso-Ox'!$E:$E)</f>
        <v>#VALUE!</v>
      </c>
      <c r="M1121" s="2" t="e">
        <f t="shared" si="37"/>
        <v>#VALUE!</v>
      </c>
    </row>
    <row r="1122" spans="1:13" x14ac:dyDescent="0.25">
      <c r="A1122">
        <v>21</v>
      </c>
      <c r="B1122">
        <v>3</v>
      </c>
      <c r="C1122">
        <v>41.134999999999998</v>
      </c>
      <c r="D1122">
        <v>0</v>
      </c>
      <c r="E1122" t="s">
        <v>23</v>
      </c>
      <c r="F1122">
        <v>2</v>
      </c>
      <c r="G1122">
        <f>COUNTIF(E:E,E1122)</f>
        <v>110</v>
      </c>
      <c r="H1122">
        <f>COUNTIFS(E:E,E1122,A:A,A1122,D:D,D1122)</f>
        <v>1</v>
      </c>
      <c r="I1122" t="e">
        <f>SUMIF([1]Mapeamento!$J:$J,A1122,[1]Mapeamento!$L:$L)</f>
        <v>#VALUE!</v>
      </c>
      <c r="J1122" s="1" t="e">
        <f>SUMIF('[1]Map_Meso-Ox'!$C:$C,A1122,'[1]Map_Meso-Ox'!$D:$D)</f>
        <v>#VALUE!</v>
      </c>
      <c r="K1122" s="2" t="e">
        <f t="shared" si="36"/>
        <v>#VALUE!</v>
      </c>
      <c r="L1122" s="1" t="e">
        <f>SUMIF('[1]Map_Meso-Ox'!$C:$C,A1122,'[1]Map_Meso-Ox'!$E:$E)</f>
        <v>#VALUE!</v>
      </c>
      <c r="M1122" s="2" t="e">
        <f t="shared" si="37"/>
        <v>#VALUE!</v>
      </c>
    </row>
    <row r="1123" spans="1:13" x14ac:dyDescent="0.25">
      <c r="A1123">
        <v>22</v>
      </c>
      <c r="B1123">
        <v>3</v>
      </c>
      <c r="C1123">
        <v>29.245000000000001</v>
      </c>
      <c r="D1123">
        <v>2.9999999999999997E-4</v>
      </c>
      <c r="E1123" t="s">
        <v>23</v>
      </c>
      <c r="F1123">
        <v>3</v>
      </c>
      <c r="G1123">
        <f>COUNTIF(E:E,E1123)</f>
        <v>110</v>
      </c>
      <c r="H1123">
        <f>COUNTIFS(E:E,E1123,A:A,A1123,D:D,D1123)</f>
        <v>1</v>
      </c>
      <c r="I1123" t="e">
        <f>SUMIF([1]Mapeamento!$J:$J,A1123,[1]Mapeamento!$L:$L)</f>
        <v>#VALUE!</v>
      </c>
      <c r="J1123" s="1" t="e">
        <f>SUMIF('[1]Map_Meso-Ox'!$C:$C,A1123,'[1]Map_Meso-Ox'!$D:$D)</f>
        <v>#VALUE!</v>
      </c>
      <c r="K1123" s="2" t="e">
        <f t="shared" si="36"/>
        <v>#VALUE!</v>
      </c>
      <c r="L1123" s="1" t="e">
        <f>SUMIF('[1]Map_Meso-Ox'!$C:$C,A1123,'[1]Map_Meso-Ox'!$E:$E)</f>
        <v>#VALUE!</v>
      </c>
      <c r="M1123" s="2" t="e">
        <f t="shared" si="37"/>
        <v>#VALUE!</v>
      </c>
    </row>
    <row r="1124" spans="1:13" x14ac:dyDescent="0.25">
      <c r="A1124">
        <v>23</v>
      </c>
      <c r="B1124">
        <v>3</v>
      </c>
      <c r="C1124">
        <v>31.489000000000001</v>
      </c>
      <c r="D1124">
        <v>1E-4</v>
      </c>
      <c r="E1124" t="s">
        <v>23</v>
      </c>
      <c r="F1124">
        <v>1</v>
      </c>
      <c r="G1124">
        <f>COUNTIF(E:E,E1124)</f>
        <v>110</v>
      </c>
      <c r="H1124">
        <f>COUNTIFS(E:E,E1124,A:A,A1124,D:D,D1124)</f>
        <v>1</v>
      </c>
      <c r="I1124" t="e">
        <f>SUMIF([1]Mapeamento!$J:$J,A1124,[1]Mapeamento!$L:$L)</f>
        <v>#VALUE!</v>
      </c>
      <c r="J1124" s="1" t="e">
        <f>SUMIF('[1]Map_Meso-Ox'!$C:$C,A1124,'[1]Map_Meso-Ox'!$D:$D)</f>
        <v>#VALUE!</v>
      </c>
      <c r="K1124" s="2" t="e">
        <f t="shared" si="36"/>
        <v>#VALUE!</v>
      </c>
      <c r="L1124" s="1" t="e">
        <f>SUMIF('[1]Map_Meso-Ox'!$C:$C,A1124,'[1]Map_Meso-Ox'!$E:$E)</f>
        <v>#VALUE!</v>
      </c>
      <c r="M1124" s="2" t="e">
        <f t="shared" si="37"/>
        <v>#VALUE!</v>
      </c>
    </row>
    <row r="1125" spans="1:13" x14ac:dyDescent="0.25">
      <c r="A1125">
        <v>24</v>
      </c>
      <c r="B1125">
        <v>3</v>
      </c>
      <c r="C1125">
        <v>30.283999999999999</v>
      </c>
      <c r="D1125">
        <v>2.0000000000000001E-4</v>
      </c>
      <c r="E1125" t="s">
        <v>23</v>
      </c>
      <c r="F1125">
        <v>1</v>
      </c>
      <c r="G1125">
        <f>COUNTIF(E:E,E1125)</f>
        <v>110</v>
      </c>
      <c r="H1125">
        <f>COUNTIFS(E:E,E1125,A:A,A1125,D:D,D1125)</f>
        <v>1</v>
      </c>
      <c r="I1125" t="e">
        <f>SUMIF([1]Mapeamento!$J:$J,A1125,[1]Mapeamento!$L:$L)</f>
        <v>#VALUE!</v>
      </c>
      <c r="J1125" s="1" t="e">
        <f>SUMIF('[1]Map_Meso-Ox'!$C:$C,A1125,'[1]Map_Meso-Ox'!$D:$D)</f>
        <v>#VALUE!</v>
      </c>
      <c r="K1125" s="2" t="e">
        <f t="shared" si="36"/>
        <v>#VALUE!</v>
      </c>
      <c r="L1125" s="1" t="e">
        <f>SUMIF('[1]Map_Meso-Ox'!$C:$C,A1125,'[1]Map_Meso-Ox'!$E:$E)</f>
        <v>#VALUE!</v>
      </c>
      <c r="M1125" s="2" t="e">
        <f t="shared" si="37"/>
        <v>#VALUE!</v>
      </c>
    </row>
    <row r="1126" spans="1:13" x14ac:dyDescent="0.25">
      <c r="A1126">
        <v>25</v>
      </c>
      <c r="B1126">
        <v>3</v>
      </c>
      <c r="C1126">
        <v>29.32</v>
      </c>
      <c r="D1126">
        <v>2.9999999999999997E-4</v>
      </c>
      <c r="E1126" t="s">
        <v>23</v>
      </c>
      <c r="F1126">
        <v>1</v>
      </c>
      <c r="G1126">
        <f>COUNTIF(E:E,E1126)</f>
        <v>110</v>
      </c>
      <c r="H1126">
        <f>COUNTIFS(E:E,E1126,A:A,A1126,D:D,D1126)</f>
        <v>1</v>
      </c>
      <c r="I1126" t="e">
        <f>SUMIF([1]Mapeamento!$J:$J,A1126,[1]Mapeamento!$L:$L)</f>
        <v>#VALUE!</v>
      </c>
      <c r="J1126" s="1" t="e">
        <f>SUMIF('[1]Map_Meso-Ox'!$C:$C,A1126,'[1]Map_Meso-Ox'!$D:$D)</f>
        <v>#VALUE!</v>
      </c>
      <c r="K1126" s="2" t="e">
        <f t="shared" si="36"/>
        <v>#VALUE!</v>
      </c>
      <c r="L1126" s="1" t="e">
        <f>SUMIF('[1]Map_Meso-Ox'!$C:$C,A1126,'[1]Map_Meso-Ox'!$E:$E)</f>
        <v>#VALUE!</v>
      </c>
      <c r="M1126" s="2" t="e">
        <f t="shared" si="37"/>
        <v>#VALUE!</v>
      </c>
    </row>
    <row r="1127" spans="1:13" x14ac:dyDescent="0.25">
      <c r="A1127">
        <v>26</v>
      </c>
      <c r="B1127">
        <v>3</v>
      </c>
      <c r="C1127">
        <v>50.463000000000001</v>
      </c>
      <c r="D1127">
        <v>0</v>
      </c>
      <c r="E1127" t="s">
        <v>23</v>
      </c>
      <c r="F1127">
        <v>2</v>
      </c>
      <c r="G1127">
        <f>COUNTIF(E:E,E1127)</f>
        <v>110</v>
      </c>
      <c r="H1127">
        <f>COUNTIFS(E:E,E1127,A:A,A1127,D:D,D1127)</f>
        <v>1</v>
      </c>
      <c r="I1127" t="e">
        <f>SUMIF([1]Mapeamento!$J:$J,A1127,[1]Mapeamento!$L:$L)</f>
        <v>#VALUE!</v>
      </c>
      <c r="J1127" s="1" t="e">
        <f>SUMIF('[1]Map_Meso-Ox'!$C:$C,A1127,'[1]Map_Meso-Ox'!$D:$D)</f>
        <v>#VALUE!</v>
      </c>
      <c r="K1127" s="2" t="e">
        <f t="shared" si="36"/>
        <v>#VALUE!</v>
      </c>
      <c r="L1127" s="1" t="e">
        <f>SUMIF('[1]Map_Meso-Ox'!$C:$C,A1127,'[1]Map_Meso-Ox'!$E:$E)</f>
        <v>#VALUE!</v>
      </c>
      <c r="M1127" s="2" t="e">
        <f t="shared" si="37"/>
        <v>#VALUE!</v>
      </c>
    </row>
    <row r="1128" spans="1:13" x14ac:dyDescent="0.25">
      <c r="A1128">
        <v>27</v>
      </c>
      <c r="B1128">
        <v>3</v>
      </c>
      <c r="C1128">
        <v>28.882999999999999</v>
      </c>
      <c r="D1128">
        <v>2.9999999999999997E-4</v>
      </c>
      <c r="E1128" t="s">
        <v>23</v>
      </c>
      <c r="F1128">
        <v>0</v>
      </c>
      <c r="G1128">
        <f>COUNTIF(E:E,E1128)</f>
        <v>110</v>
      </c>
      <c r="H1128">
        <f>COUNTIFS(E:E,E1128,A:A,A1128,D:D,D1128)</f>
        <v>1</v>
      </c>
      <c r="I1128" t="e">
        <f>SUMIF([1]Mapeamento!$J:$J,A1128,[1]Mapeamento!$L:$L)</f>
        <v>#VALUE!</v>
      </c>
      <c r="J1128" s="1" t="e">
        <f>SUMIF('[1]Map_Meso-Ox'!$C:$C,A1128,'[1]Map_Meso-Ox'!$D:$D)</f>
        <v>#VALUE!</v>
      </c>
      <c r="K1128" s="2" t="e">
        <f t="shared" si="36"/>
        <v>#VALUE!</v>
      </c>
      <c r="L1128" s="1" t="e">
        <f>SUMIF('[1]Map_Meso-Ox'!$C:$C,A1128,'[1]Map_Meso-Ox'!$E:$E)</f>
        <v>#VALUE!</v>
      </c>
      <c r="M1128" s="2" t="e">
        <f t="shared" si="37"/>
        <v>#VALUE!</v>
      </c>
    </row>
    <row r="1129" spans="1:13" x14ac:dyDescent="0.25">
      <c r="A1129">
        <v>28</v>
      </c>
      <c r="B1129">
        <v>3</v>
      </c>
      <c r="C1129">
        <v>42.279000000000003</v>
      </c>
      <c r="D1129">
        <v>0</v>
      </c>
      <c r="E1129" t="s">
        <v>23</v>
      </c>
      <c r="F1129">
        <v>2</v>
      </c>
      <c r="G1129">
        <f>COUNTIF(E:E,E1129)</f>
        <v>110</v>
      </c>
      <c r="H1129">
        <f>COUNTIFS(E:E,E1129,A:A,A1129,D:D,D1129)</f>
        <v>1</v>
      </c>
      <c r="I1129" t="e">
        <f>SUMIF([1]Mapeamento!$J:$J,A1129,[1]Mapeamento!$L:$L)</f>
        <v>#VALUE!</v>
      </c>
      <c r="J1129" s="1" t="e">
        <f>SUMIF('[1]Map_Meso-Ox'!$C:$C,A1129,'[1]Map_Meso-Ox'!$D:$D)</f>
        <v>#VALUE!</v>
      </c>
      <c r="K1129" s="2" t="e">
        <f t="shared" si="36"/>
        <v>#VALUE!</v>
      </c>
      <c r="L1129" s="1" t="e">
        <f>SUMIF('[1]Map_Meso-Ox'!$C:$C,A1129,'[1]Map_Meso-Ox'!$E:$E)</f>
        <v>#VALUE!</v>
      </c>
      <c r="M1129" s="2" t="e">
        <f t="shared" si="37"/>
        <v>#VALUE!</v>
      </c>
    </row>
    <row r="1130" spans="1:13" x14ac:dyDescent="0.25">
      <c r="A1130">
        <v>29</v>
      </c>
      <c r="B1130">
        <v>3</v>
      </c>
      <c r="C1130">
        <v>36.981999999999999</v>
      </c>
      <c r="D1130">
        <v>0</v>
      </c>
      <c r="E1130" t="s">
        <v>23</v>
      </c>
      <c r="F1130">
        <v>1</v>
      </c>
      <c r="G1130">
        <f>COUNTIF(E:E,E1130)</f>
        <v>110</v>
      </c>
      <c r="H1130">
        <f>COUNTIFS(E:E,E1130,A:A,A1130,D:D,D1130)</f>
        <v>1</v>
      </c>
      <c r="I1130" t="e">
        <f>SUMIF([1]Mapeamento!$J:$J,A1130,[1]Mapeamento!$L:$L)</f>
        <v>#VALUE!</v>
      </c>
      <c r="J1130" s="1" t="e">
        <f>SUMIF('[1]Map_Meso-Ox'!$C:$C,A1130,'[1]Map_Meso-Ox'!$D:$D)</f>
        <v>#VALUE!</v>
      </c>
      <c r="K1130" s="2" t="e">
        <f t="shared" si="36"/>
        <v>#VALUE!</v>
      </c>
      <c r="L1130" s="1" t="e">
        <f>SUMIF('[1]Map_Meso-Ox'!$C:$C,A1130,'[1]Map_Meso-Ox'!$E:$E)</f>
        <v>#VALUE!</v>
      </c>
      <c r="M1130" s="2" t="e">
        <f t="shared" si="37"/>
        <v>#VALUE!</v>
      </c>
    </row>
    <row r="1131" spans="1:13" x14ac:dyDescent="0.25">
      <c r="A1131">
        <v>30</v>
      </c>
      <c r="B1131">
        <v>3</v>
      </c>
      <c r="C1131">
        <v>40.866999999999997</v>
      </c>
      <c r="D1131">
        <v>0</v>
      </c>
      <c r="E1131" t="s">
        <v>23</v>
      </c>
      <c r="F1131">
        <v>1</v>
      </c>
      <c r="G1131">
        <f>COUNTIF(E:E,E1131)</f>
        <v>110</v>
      </c>
      <c r="H1131">
        <f>COUNTIFS(E:E,E1131,A:A,A1131,D:D,D1131)</f>
        <v>1</v>
      </c>
      <c r="I1131" t="e">
        <f>SUMIF([1]Mapeamento!$J:$J,A1131,[1]Mapeamento!$L:$L)</f>
        <v>#VALUE!</v>
      </c>
      <c r="J1131" s="1" t="e">
        <f>SUMIF('[1]Map_Meso-Ox'!$C:$C,A1131,'[1]Map_Meso-Ox'!$D:$D)</f>
        <v>#VALUE!</v>
      </c>
      <c r="K1131" s="2" t="e">
        <f t="shared" si="36"/>
        <v>#VALUE!</v>
      </c>
      <c r="L1131" s="1" t="e">
        <f>SUMIF('[1]Map_Meso-Ox'!$C:$C,A1131,'[1]Map_Meso-Ox'!$E:$E)</f>
        <v>#VALUE!</v>
      </c>
      <c r="M1131" s="2" t="e">
        <f t="shared" si="37"/>
        <v>#VALUE!</v>
      </c>
    </row>
    <row r="1132" spans="1:13" x14ac:dyDescent="0.25">
      <c r="A1132">
        <v>31</v>
      </c>
      <c r="B1132">
        <v>3</v>
      </c>
      <c r="C1132">
        <v>24.806000000000001</v>
      </c>
      <c r="D1132">
        <v>1.6999999999999999E-3</v>
      </c>
      <c r="E1132" t="s">
        <v>23</v>
      </c>
      <c r="F1132">
        <v>1</v>
      </c>
      <c r="G1132">
        <f>COUNTIF(E:E,E1132)</f>
        <v>110</v>
      </c>
      <c r="H1132">
        <f>COUNTIFS(E:E,E1132,A:A,A1132,D:D,D1132)</f>
        <v>1</v>
      </c>
      <c r="I1132" t="e">
        <f>SUMIF([1]Mapeamento!$J:$J,A1132,[1]Mapeamento!$L:$L)</f>
        <v>#VALUE!</v>
      </c>
      <c r="J1132" s="1" t="e">
        <f>SUMIF('[1]Map_Meso-Ox'!$C:$C,A1132,'[1]Map_Meso-Ox'!$D:$D)</f>
        <v>#VALUE!</v>
      </c>
      <c r="K1132" s="2" t="e">
        <f t="shared" si="36"/>
        <v>#VALUE!</v>
      </c>
      <c r="L1132" s="1" t="e">
        <f>SUMIF('[1]Map_Meso-Ox'!$C:$C,A1132,'[1]Map_Meso-Ox'!$E:$E)</f>
        <v>#VALUE!</v>
      </c>
      <c r="M1132" s="2" t="e">
        <f t="shared" si="37"/>
        <v>#VALUE!</v>
      </c>
    </row>
    <row r="1133" spans="1:13" x14ac:dyDescent="0.25">
      <c r="A1133">
        <v>32</v>
      </c>
      <c r="B1133">
        <v>3</v>
      </c>
      <c r="C1133">
        <v>33.390999999999998</v>
      </c>
      <c r="D1133">
        <v>1E-4</v>
      </c>
      <c r="E1133" t="s">
        <v>23</v>
      </c>
      <c r="F1133">
        <v>1</v>
      </c>
      <c r="G1133">
        <f>COUNTIF(E:E,E1133)</f>
        <v>110</v>
      </c>
      <c r="H1133">
        <f>COUNTIFS(E:E,E1133,A:A,A1133,D:D,D1133)</f>
        <v>1</v>
      </c>
      <c r="I1133" t="e">
        <f>SUMIF([1]Mapeamento!$J:$J,A1133,[1]Mapeamento!$L:$L)</f>
        <v>#VALUE!</v>
      </c>
      <c r="J1133" s="1" t="e">
        <f>SUMIF('[1]Map_Meso-Ox'!$C:$C,A1133,'[1]Map_Meso-Ox'!$D:$D)</f>
        <v>#VALUE!</v>
      </c>
      <c r="K1133" s="2" t="e">
        <f t="shared" si="36"/>
        <v>#VALUE!</v>
      </c>
      <c r="L1133" s="1" t="e">
        <f>SUMIF('[1]Map_Meso-Ox'!$C:$C,A1133,'[1]Map_Meso-Ox'!$E:$E)</f>
        <v>#VALUE!</v>
      </c>
      <c r="M1133" s="2" t="e">
        <f t="shared" si="37"/>
        <v>#VALUE!</v>
      </c>
    </row>
    <row r="1134" spans="1:13" x14ac:dyDescent="0.25">
      <c r="A1134">
        <v>33</v>
      </c>
      <c r="B1134">
        <v>3</v>
      </c>
      <c r="C1134">
        <v>16.510999999999999</v>
      </c>
      <c r="D1134">
        <v>3.56E-2</v>
      </c>
      <c r="E1134" t="s">
        <v>23</v>
      </c>
      <c r="F1134">
        <v>0</v>
      </c>
      <c r="G1134">
        <f>COUNTIF(E:E,E1134)</f>
        <v>110</v>
      </c>
      <c r="H1134">
        <f>COUNTIFS(E:E,E1134,A:A,A1134,D:D,D1134)</f>
        <v>1</v>
      </c>
      <c r="I1134" t="e">
        <f>SUMIF([1]Mapeamento!$J:$J,A1134,[1]Mapeamento!$L:$L)</f>
        <v>#VALUE!</v>
      </c>
      <c r="J1134" s="1" t="e">
        <f>SUMIF('[1]Map_Meso-Ox'!$C:$C,A1134,'[1]Map_Meso-Ox'!$D:$D)</f>
        <v>#VALUE!</v>
      </c>
      <c r="K1134" s="2" t="e">
        <f t="shared" si="36"/>
        <v>#VALUE!</v>
      </c>
      <c r="L1134" s="1" t="e">
        <f>SUMIF('[1]Map_Meso-Ox'!$C:$C,A1134,'[1]Map_Meso-Ox'!$E:$E)</f>
        <v>#VALUE!</v>
      </c>
      <c r="M1134" s="2" t="e">
        <f t="shared" si="37"/>
        <v>#VALUE!</v>
      </c>
    </row>
    <row r="1135" spans="1:13" x14ac:dyDescent="0.25">
      <c r="A1135">
        <v>34</v>
      </c>
      <c r="B1135">
        <v>3</v>
      </c>
      <c r="C1135">
        <v>48.866999999999997</v>
      </c>
      <c r="D1135">
        <v>0</v>
      </c>
      <c r="E1135" t="s">
        <v>23</v>
      </c>
      <c r="F1135">
        <v>2</v>
      </c>
      <c r="G1135">
        <f>COUNTIF(E:E,E1135)</f>
        <v>110</v>
      </c>
      <c r="H1135">
        <f>COUNTIFS(E:E,E1135,A:A,A1135,D:D,D1135)</f>
        <v>1</v>
      </c>
      <c r="I1135" t="e">
        <f>SUMIF([1]Mapeamento!$J:$J,A1135,[1]Mapeamento!$L:$L)</f>
        <v>#VALUE!</v>
      </c>
      <c r="J1135" s="1" t="e">
        <f>SUMIF('[1]Map_Meso-Ox'!$C:$C,A1135,'[1]Map_Meso-Ox'!$D:$D)</f>
        <v>#VALUE!</v>
      </c>
      <c r="K1135" s="2" t="e">
        <f t="shared" si="36"/>
        <v>#VALUE!</v>
      </c>
      <c r="L1135" s="1" t="e">
        <f>SUMIF('[1]Map_Meso-Ox'!$C:$C,A1135,'[1]Map_Meso-Ox'!$E:$E)</f>
        <v>#VALUE!</v>
      </c>
      <c r="M1135" s="2" t="e">
        <f t="shared" si="37"/>
        <v>#VALUE!</v>
      </c>
    </row>
    <row r="1136" spans="1:13" x14ac:dyDescent="0.25">
      <c r="A1136">
        <v>35</v>
      </c>
      <c r="B1136">
        <v>3</v>
      </c>
      <c r="C1136">
        <v>12.645</v>
      </c>
      <c r="D1136">
        <v>0.12470000000000001</v>
      </c>
      <c r="E1136" t="s">
        <v>23</v>
      </c>
      <c r="F1136">
        <v>0</v>
      </c>
      <c r="G1136">
        <f>COUNTIF(E:E,E1136)</f>
        <v>110</v>
      </c>
      <c r="H1136">
        <f>COUNTIFS(E:E,E1136,A:A,A1136,D:D,D1136)</f>
        <v>1</v>
      </c>
      <c r="I1136" t="e">
        <f>SUMIF([1]Mapeamento!$J:$J,A1136,[1]Mapeamento!$L:$L)</f>
        <v>#VALUE!</v>
      </c>
      <c r="J1136" s="1" t="e">
        <f>SUMIF('[1]Map_Meso-Ox'!$C:$C,A1136,'[1]Map_Meso-Ox'!$D:$D)</f>
        <v>#VALUE!</v>
      </c>
      <c r="K1136" s="2" t="e">
        <f t="shared" si="36"/>
        <v>#VALUE!</v>
      </c>
      <c r="L1136" s="1" t="e">
        <f>SUMIF('[1]Map_Meso-Ox'!$C:$C,A1136,'[1]Map_Meso-Ox'!$E:$E)</f>
        <v>#VALUE!</v>
      </c>
      <c r="M1136" s="2" t="e">
        <f t="shared" si="37"/>
        <v>#VALUE!</v>
      </c>
    </row>
    <row r="1137" spans="1:13" x14ac:dyDescent="0.25">
      <c r="A1137">
        <v>36</v>
      </c>
      <c r="B1137">
        <v>3</v>
      </c>
      <c r="C1137">
        <v>45.832000000000001</v>
      </c>
      <c r="D1137">
        <v>0</v>
      </c>
      <c r="E1137" t="s">
        <v>23</v>
      </c>
      <c r="F1137">
        <v>2</v>
      </c>
      <c r="G1137">
        <f>COUNTIF(E:E,E1137)</f>
        <v>110</v>
      </c>
      <c r="H1137">
        <f>COUNTIFS(E:E,E1137,A:A,A1137,D:D,D1137)</f>
        <v>1</v>
      </c>
      <c r="I1137" t="e">
        <f>SUMIF([1]Mapeamento!$J:$J,A1137,[1]Mapeamento!$L:$L)</f>
        <v>#VALUE!</v>
      </c>
      <c r="J1137" s="1" t="e">
        <f>SUMIF('[1]Map_Meso-Ox'!$C:$C,A1137,'[1]Map_Meso-Ox'!$D:$D)</f>
        <v>#VALUE!</v>
      </c>
      <c r="K1137" s="2" t="e">
        <f t="shared" si="36"/>
        <v>#VALUE!</v>
      </c>
      <c r="L1137" s="1" t="e">
        <f>SUMIF('[1]Map_Meso-Ox'!$C:$C,A1137,'[1]Map_Meso-Ox'!$E:$E)</f>
        <v>#VALUE!</v>
      </c>
      <c r="M1137" s="2" t="e">
        <f t="shared" si="37"/>
        <v>#VALUE!</v>
      </c>
    </row>
    <row r="1138" spans="1:13" x14ac:dyDescent="0.25">
      <c r="A1138">
        <v>37</v>
      </c>
      <c r="B1138">
        <v>3</v>
      </c>
      <c r="C1138">
        <v>35.78</v>
      </c>
      <c r="D1138">
        <v>0</v>
      </c>
      <c r="E1138" t="s">
        <v>23</v>
      </c>
      <c r="F1138">
        <v>1</v>
      </c>
      <c r="G1138">
        <f>COUNTIF(E:E,E1138)</f>
        <v>110</v>
      </c>
      <c r="H1138">
        <f>COUNTIFS(E:E,E1138,A:A,A1138,D:D,D1138)</f>
        <v>1</v>
      </c>
      <c r="I1138" t="e">
        <f>SUMIF([1]Mapeamento!$J:$J,A1138,[1]Mapeamento!$L:$L)</f>
        <v>#VALUE!</v>
      </c>
      <c r="J1138" s="1" t="e">
        <f>SUMIF('[1]Map_Meso-Ox'!$C:$C,A1138,'[1]Map_Meso-Ox'!$D:$D)</f>
        <v>#VALUE!</v>
      </c>
      <c r="K1138" s="2" t="e">
        <f t="shared" si="36"/>
        <v>#VALUE!</v>
      </c>
      <c r="L1138" s="1" t="e">
        <f>SUMIF('[1]Map_Meso-Ox'!$C:$C,A1138,'[1]Map_Meso-Ox'!$E:$E)</f>
        <v>#VALUE!</v>
      </c>
      <c r="M1138" s="2" t="e">
        <f t="shared" si="37"/>
        <v>#VALUE!</v>
      </c>
    </row>
    <row r="1139" spans="1:13" x14ac:dyDescent="0.25">
      <c r="A1139">
        <v>38</v>
      </c>
      <c r="B1139">
        <v>3</v>
      </c>
      <c r="C1139">
        <v>22.454999999999998</v>
      </c>
      <c r="D1139">
        <v>4.1000000000000003E-3</v>
      </c>
      <c r="E1139" t="s">
        <v>23</v>
      </c>
      <c r="F1139">
        <v>0</v>
      </c>
      <c r="G1139">
        <f>COUNTIF(E:E,E1139)</f>
        <v>110</v>
      </c>
      <c r="H1139">
        <f>COUNTIFS(E:E,E1139,A:A,A1139,D:D,D1139)</f>
        <v>1</v>
      </c>
      <c r="I1139" t="e">
        <f>SUMIF([1]Mapeamento!$J:$J,A1139,[1]Mapeamento!$L:$L)</f>
        <v>#VALUE!</v>
      </c>
      <c r="J1139" s="1" t="e">
        <f>SUMIF('[1]Map_Meso-Ox'!$C:$C,A1139,'[1]Map_Meso-Ox'!$D:$D)</f>
        <v>#VALUE!</v>
      </c>
      <c r="K1139" s="2" t="e">
        <f t="shared" si="36"/>
        <v>#VALUE!</v>
      </c>
      <c r="L1139" s="1" t="e">
        <f>SUMIF('[1]Map_Meso-Ox'!$C:$C,A1139,'[1]Map_Meso-Ox'!$E:$E)</f>
        <v>#VALUE!</v>
      </c>
      <c r="M1139" s="2" t="e">
        <f t="shared" si="37"/>
        <v>#VALUE!</v>
      </c>
    </row>
    <row r="1140" spans="1:13" x14ac:dyDescent="0.25">
      <c r="A1140">
        <v>39</v>
      </c>
      <c r="B1140">
        <v>3</v>
      </c>
      <c r="C1140">
        <v>35.426000000000002</v>
      </c>
      <c r="D1140">
        <v>0</v>
      </c>
      <c r="E1140" t="s">
        <v>23</v>
      </c>
      <c r="F1140">
        <v>1</v>
      </c>
      <c r="G1140">
        <f>COUNTIF(E:E,E1140)</f>
        <v>110</v>
      </c>
      <c r="H1140">
        <f>COUNTIFS(E:E,E1140,A:A,A1140,D:D,D1140)</f>
        <v>1</v>
      </c>
      <c r="I1140" t="e">
        <f>SUMIF([1]Mapeamento!$J:$J,A1140,[1]Mapeamento!$L:$L)</f>
        <v>#VALUE!</v>
      </c>
      <c r="J1140" s="1" t="e">
        <f>SUMIF('[1]Map_Meso-Ox'!$C:$C,A1140,'[1]Map_Meso-Ox'!$D:$D)</f>
        <v>#VALUE!</v>
      </c>
      <c r="K1140" s="2" t="e">
        <f t="shared" si="36"/>
        <v>#VALUE!</v>
      </c>
      <c r="L1140" s="1" t="e">
        <f>SUMIF('[1]Map_Meso-Ox'!$C:$C,A1140,'[1]Map_Meso-Ox'!$E:$E)</f>
        <v>#VALUE!</v>
      </c>
      <c r="M1140" s="2" t="e">
        <f t="shared" si="37"/>
        <v>#VALUE!</v>
      </c>
    </row>
    <row r="1141" spans="1:13" x14ac:dyDescent="0.25">
      <c r="A1141">
        <v>40</v>
      </c>
      <c r="B1141">
        <v>3</v>
      </c>
      <c r="C1141">
        <v>28.216999999999999</v>
      </c>
      <c r="D1141">
        <v>4.0000000000000002E-4</v>
      </c>
      <c r="E1141" t="s">
        <v>23</v>
      </c>
      <c r="F1141">
        <v>1</v>
      </c>
      <c r="G1141">
        <f>COUNTIF(E:E,E1141)</f>
        <v>110</v>
      </c>
      <c r="H1141">
        <f>COUNTIFS(E:E,E1141,A:A,A1141,D:D,D1141)</f>
        <v>1</v>
      </c>
      <c r="I1141" t="e">
        <f>SUMIF([1]Mapeamento!$J:$J,A1141,[1]Mapeamento!$L:$L)</f>
        <v>#VALUE!</v>
      </c>
      <c r="J1141" s="1" t="e">
        <f>SUMIF('[1]Map_Meso-Ox'!$C:$C,A1141,'[1]Map_Meso-Ox'!$D:$D)</f>
        <v>#VALUE!</v>
      </c>
      <c r="K1141" s="2" t="e">
        <f t="shared" si="36"/>
        <v>#VALUE!</v>
      </c>
      <c r="L1141" s="1" t="e">
        <f>SUMIF('[1]Map_Meso-Ox'!$C:$C,A1141,'[1]Map_Meso-Ox'!$E:$E)</f>
        <v>#VALUE!</v>
      </c>
      <c r="M1141" s="2" t="e">
        <f t="shared" si="37"/>
        <v>#VALUE!</v>
      </c>
    </row>
    <row r="1142" spans="1:13" x14ac:dyDescent="0.25">
      <c r="A1142">
        <v>41</v>
      </c>
      <c r="B1142">
        <v>3</v>
      </c>
      <c r="C1142">
        <v>32.634999999999998</v>
      </c>
      <c r="D1142">
        <v>1E-4</v>
      </c>
      <c r="E1142" t="s">
        <v>23</v>
      </c>
      <c r="F1142">
        <v>1</v>
      </c>
      <c r="G1142">
        <f>COUNTIF(E:E,E1142)</f>
        <v>110</v>
      </c>
      <c r="H1142">
        <f>COUNTIFS(E:E,E1142,A:A,A1142,D:D,D1142)</f>
        <v>1</v>
      </c>
      <c r="I1142" t="e">
        <f>SUMIF([1]Mapeamento!$J:$J,A1142,[1]Mapeamento!$L:$L)</f>
        <v>#VALUE!</v>
      </c>
      <c r="J1142" s="1" t="e">
        <f>SUMIF('[1]Map_Meso-Ox'!$C:$C,A1142,'[1]Map_Meso-Ox'!$D:$D)</f>
        <v>#VALUE!</v>
      </c>
      <c r="K1142" s="2" t="e">
        <f t="shared" si="36"/>
        <v>#VALUE!</v>
      </c>
      <c r="L1142" s="1" t="e">
        <f>SUMIF('[1]Map_Meso-Ox'!$C:$C,A1142,'[1]Map_Meso-Ox'!$E:$E)</f>
        <v>#VALUE!</v>
      </c>
      <c r="M1142" s="2" t="e">
        <f t="shared" si="37"/>
        <v>#VALUE!</v>
      </c>
    </row>
    <row r="1143" spans="1:13" x14ac:dyDescent="0.25">
      <c r="A1143">
        <v>42</v>
      </c>
      <c r="B1143">
        <v>3</v>
      </c>
      <c r="C1143">
        <v>24.686</v>
      </c>
      <c r="D1143">
        <v>1.8E-3</v>
      </c>
      <c r="E1143" t="s">
        <v>23</v>
      </c>
      <c r="F1143">
        <v>0</v>
      </c>
      <c r="G1143">
        <f>COUNTIF(E:E,E1143)</f>
        <v>110</v>
      </c>
      <c r="H1143">
        <f>COUNTIFS(E:E,E1143,A:A,A1143,D:D,D1143)</f>
        <v>1</v>
      </c>
      <c r="I1143" t="e">
        <f>SUMIF([1]Mapeamento!$J:$J,A1143,[1]Mapeamento!$L:$L)</f>
        <v>#VALUE!</v>
      </c>
      <c r="J1143" s="1" t="e">
        <f>SUMIF('[1]Map_Meso-Ox'!$C:$C,A1143,'[1]Map_Meso-Ox'!$D:$D)</f>
        <v>#VALUE!</v>
      </c>
      <c r="K1143" s="2" t="e">
        <f t="shared" si="36"/>
        <v>#VALUE!</v>
      </c>
      <c r="L1143" s="1" t="e">
        <f>SUMIF('[1]Map_Meso-Ox'!$C:$C,A1143,'[1]Map_Meso-Ox'!$E:$E)</f>
        <v>#VALUE!</v>
      </c>
      <c r="M1143" s="2" t="e">
        <f t="shared" si="37"/>
        <v>#VALUE!</v>
      </c>
    </row>
    <row r="1144" spans="1:13" x14ac:dyDescent="0.25">
      <c r="A1144">
        <v>43</v>
      </c>
      <c r="B1144">
        <v>3</v>
      </c>
      <c r="C1144">
        <v>23.516999999999999</v>
      </c>
      <c r="D1144">
        <v>2.8E-3</v>
      </c>
      <c r="E1144" t="s">
        <v>23</v>
      </c>
      <c r="F1144">
        <v>0</v>
      </c>
      <c r="G1144">
        <f>COUNTIF(E:E,E1144)</f>
        <v>110</v>
      </c>
      <c r="H1144">
        <f>COUNTIFS(E:E,E1144,A:A,A1144,D:D,D1144)</f>
        <v>1</v>
      </c>
      <c r="I1144" t="e">
        <f>SUMIF([1]Mapeamento!$J:$J,A1144,[1]Mapeamento!$L:$L)</f>
        <v>#VALUE!</v>
      </c>
      <c r="J1144" s="1" t="e">
        <f>SUMIF('[1]Map_Meso-Ox'!$C:$C,A1144,'[1]Map_Meso-Ox'!$D:$D)</f>
        <v>#VALUE!</v>
      </c>
      <c r="K1144" s="2" t="e">
        <f t="shared" si="36"/>
        <v>#VALUE!</v>
      </c>
      <c r="L1144" s="1" t="e">
        <f>SUMIF('[1]Map_Meso-Ox'!$C:$C,A1144,'[1]Map_Meso-Ox'!$E:$E)</f>
        <v>#VALUE!</v>
      </c>
      <c r="M1144" s="2" t="e">
        <f t="shared" si="37"/>
        <v>#VALUE!</v>
      </c>
    </row>
    <row r="1145" spans="1:13" x14ac:dyDescent="0.25">
      <c r="A1145">
        <v>44</v>
      </c>
      <c r="B1145">
        <v>3</v>
      </c>
      <c r="C1145">
        <v>16.358000000000001</v>
      </c>
      <c r="D1145">
        <v>3.7499999999999999E-2</v>
      </c>
      <c r="E1145" t="s">
        <v>23</v>
      </c>
      <c r="F1145">
        <v>0</v>
      </c>
      <c r="G1145">
        <f>COUNTIF(E:E,E1145)</f>
        <v>110</v>
      </c>
      <c r="H1145">
        <f>COUNTIFS(E:E,E1145,A:A,A1145,D:D,D1145)</f>
        <v>1</v>
      </c>
      <c r="I1145" t="e">
        <f>SUMIF([1]Mapeamento!$J:$J,A1145,[1]Mapeamento!$L:$L)</f>
        <v>#VALUE!</v>
      </c>
      <c r="J1145" s="1" t="e">
        <f>SUMIF('[1]Map_Meso-Ox'!$C:$C,A1145,'[1]Map_Meso-Ox'!$D:$D)</f>
        <v>#VALUE!</v>
      </c>
      <c r="K1145" s="2" t="e">
        <f t="shared" si="36"/>
        <v>#VALUE!</v>
      </c>
      <c r="L1145" s="1" t="e">
        <f>SUMIF('[1]Map_Meso-Ox'!$C:$C,A1145,'[1]Map_Meso-Ox'!$E:$E)</f>
        <v>#VALUE!</v>
      </c>
      <c r="M1145" s="2" t="e">
        <f t="shared" si="37"/>
        <v>#VALUE!</v>
      </c>
    </row>
    <row r="1146" spans="1:13" x14ac:dyDescent="0.25">
      <c r="A1146">
        <v>45</v>
      </c>
      <c r="B1146">
        <v>3</v>
      </c>
      <c r="C1146">
        <v>37.173999999999999</v>
      </c>
      <c r="D1146">
        <v>0</v>
      </c>
      <c r="E1146" t="s">
        <v>23</v>
      </c>
      <c r="F1146">
        <v>2</v>
      </c>
      <c r="G1146">
        <f>COUNTIF(E:E,E1146)</f>
        <v>110</v>
      </c>
      <c r="H1146">
        <f>COUNTIFS(E:E,E1146,A:A,A1146,D:D,D1146)</f>
        <v>1</v>
      </c>
      <c r="I1146" t="e">
        <f>SUMIF([1]Mapeamento!$J:$J,A1146,[1]Mapeamento!$L:$L)</f>
        <v>#VALUE!</v>
      </c>
      <c r="J1146" s="1" t="e">
        <f>SUMIF('[1]Map_Meso-Ox'!$C:$C,A1146,'[1]Map_Meso-Ox'!$D:$D)</f>
        <v>#VALUE!</v>
      </c>
      <c r="K1146" s="2" t="e">
        <f t="shared" si="36"/>
        <v>#VALUE!</v>
      </c>
      <c r="L1146" s="1" t="e">
        <f>SUMIF('[1]Map_Meso-Ox'!$C:$C,A1146,'[1]Map_Meso-Ox'!$E:$E)</f>
        <v>#VALUE!</v>
      </c>
      <c r="M1146" s="2" t="e">
        <f t="shared" si="37"/>
        <v>#VALUE!</v>
      </c>
    </row>
    <row r="1147" spans="1:13" x14ac:dyDescent="0.25">
      <c r="A1147">
        <v>46</v>
      </c>
      <c r="B1147">
        <v>3</v>
      </c>
      <c r="C1147">
        <v>19.468</v>
      </c>
      <c r="D1147">
        <v>1.2500000000000001E-2</v>
      </c>
      <c r="E1147" t="s">
        <v>23</v>
      </c>
      <c r="F1147">
        <v>0</v>
      </c>
      <c r="G1147">
        <f>COUNTIF(E:E,E1147)</f>
        <v>110</v>
      </c>
      <c r="H1147">
        <f>COUNTIFS(E:E,E1147,A:A,A1147,D:D,D1147)</f>
        <v>1</v>
      </c>
      <c r="I1147" t="e">
        <f>SUMIF([1]Mapeamento!$J:$J,A1147,[1]Mapeamento!$L:$L)</f>
        <v>#VALUE!</v>
      </c>
      <c r="J1147" s="1" t="e">
        <f>SUMIF('[1]Map_Meso-Ox'!$C:$C,A1147,'[1]Map_Meso-Ox'!$D:$D)</f>
        <v>#VALUE!</v>
      </c>
      <c r="K1147" s="2" t="e">
        <f t="shared" si="36"/>
        <v>#VALUE!</v>
      </c>
      <c r="L1147" s="1" t="e">
        <f>SUMIF('[1]Map_Meso-Ox'!$C:$C,A1147,'[1]Map_Meso-Ox'!$E:$E)</f>
        <v>#VALUE!</v>
      </c>
      <c r="M1147" s="2" t="e">
        <f t="shared" si="37"/>
        <v>#VALUE!</v>
      </c>
    </row>
    <row r="1148" spans="1:13" x14ac:dyDescent="0.25">
      <c r="A1148">
        <v>47</v>
      </c>
      <c r="B1148">
        <v>3</v>
      </c>
      <c r="C1148">
        <v>25.469000000000001</v>
      </c>
      <c r="D1148">
        <v>1.2999999999999999E-3</v>
      </c>
      <c r="E1148" t="s">
        <v>23</v>
      </c>
      <c r="F1148">
        <v>0</v>
      </c>
      <c r="G1148">
        <f>COUNTIF(E:E,E1148)</f>
        <v>110</v>
      </c>
      <c r="H1148">
        <f>COUNTIFS(E:E,E1148,A:A,A1148,D:D,D1148)</f>
        <v>1</v>
      </c>
      <c r="I1148" t="e">
        <f>SUMIF([1]Mapeamento!$J:$J,A1148,[1]Mapeamento!$L:$L)</f>
        <v>#VALUE!</v>
      </c>
      <c r="J1148" s="1" t="e">
        <f>SUMIF('[1]Map_Meso-Ox'!$C:$C,A1148,'[1]Map_Meso-Ox'!$D:$D)</f>
        <v>#VALUE!</v>
      </c>
      <c r="K1148" s="2" t="e">
        <f t="shared" si="36"/>
        <v>#VALUE!</v>
      </c>
      <c r="L1148" s="1" t="e">
        <f>SUMIF('[1]Map_Meso-Ox'!$C:$C,A1148,'[1]Map_Meso-Ox'!$E:$E)</f>
        <v>#VALUE!</v>
      </c>
      <c r="M1148" s="2" t="e">
        <f t="shared" si="37"/>
        <v>#VALUE!</v>
      </c>
    </row>
    <row r="1149" spans="1:13" x14ac:dyDescent="0.25">
      <c r="A1149">
        <v>48</v>
      </c>
      <c r="B1149">
        <v>3</v>
      </c>
      <c r="C1149">
        <v>26.242000000000001</v>
      </c>
      <c r="D1149">
        <v>1E-3</v>
      </c>
      <c r="E1149" t="s">
        <v>23</v>
      </c>
      <c r="F1149">
        <v>0</v>
      </c>
      <c r="G1149">
        <f>COUNTIF(E:E,E1149)</f>
        <v>110</v>
      </c>
      <c r="H1149">
        <f>COUNTIFS(E:E,E1149,A:A,A1149,D:D,D1149)</f>
        <v>1</v>
      </c>
      <c r="I1149" t="e">
        <f>SUMIF([1]Mapeamento!$J:$J,A1149,[1]Mapeamento!$L:$L)</f>
        <v>#VALUE!</v>
      </c>
      <c r="J1149" s="1" t="e">
        <f>SUMIF('[1]Map_Meso-Ox'!$C:$C,A1149,'[1]Map_Meso-Ox'!$D:$D)</f>
        <v>#VALUE!</v>
      </c>
      <c r="K1149" s="2" t="e">
        <f t="shared" si="36"/>
        <v>#VALUE!</v>
      </c>
      <c r="L1149" s="1" t="e">
        <f>SUMIF('[1]Map_Meso-Ox'!$C:$C,A1149,'[1]Map_Meso-Ox'!$E:$E)</f>
        <v>#VALUE!</v>
      </c>
      <c r="M1149" s="2" t="e">
        <f t="shared" si="37"/>
        <v>#VALUE!</v>
      </c>
    </row>
    <row r="1150" spans="1:13" x14ac:dyDescent="0.25">
      <c r="A1150">
        <v>49</v>
      </c>
      <c r="B1150">
        <v>3</v>
      </c>
      <c r="C1150">
        <v>25.062000000000001</v>
      </c>
      <c r="D1150">
        <v>1.5E-3</v>
      </c>
      <c r="E1150" t="s">
        <v>23</v>
      </c>
      <c r="F1150">
        <v>0</v>
      </c>
      <c r="G1150">
        <f>COUNTIF(E:E,E1150)</f>
        <v>110</v>
      </c>
      <c r="H1150">
        <f>COUNTIFS(E:E,E1150,A:A,A1150,D:D,D1150)</f>
        <v>1</v>
      </c>
      <c r="I1150" t="e">
        <f>SUMIF([1]Mapeamento!$J:$J,A1150,[1]Mapeamento!$L:$L)</f>
        <v>#VALUE!</v>
      </c>
      <c r="J1150" s="1" t="e">
        <f>SUMIF('[1]Map_Meso-Ox'!$C:$C,A1150,'[1]Map_Meso-Ox'!$D:$D)</f>
        <v>#VALUE!</v>
      </c>
      <c r="K1150" s="2" t="e">
        <f t="shared" si="36"/>
        <v>#VALUE!</v>
      </c>
      <c r="L1150" s="1" t="e">
        <f>SUMIF('[1]Map_Meso-Ox'!$C:$C,A1150,'[1]Map_Meso-Ox'!$E:$E)</f>
        <v>#VALUE!</v>
      </c>
      <c r="M1150" s="2" t="e">
        <f t="shared" si="37"/>
        <v>#VALUE!</v>
      </c>
    </row>
    <row r="1151" spans="1:13" x14ac:dyDescent="0.25">
      <c r="A1151">
        <v>50</v>
      </c>
      <c r="B1151">
        <v>3</v>
      </c>
      <c r="C1151">
        <v>25.263999999999999</v>
      </c>
      <c r="D1151">
        <v>1.4E-3</v>
      </c>
      <c r="E1151" t="s">
        <v>23</v>
      </c>
      <c r="F1151">
        <v>0</v>
      </c>
      <c r="G1151">
        <f>COUNTIF(E:E,E1151)</f>
        <v>110</v>
      </c>
      <c r="H1151">
        <f>COUNTIFS(E:E,E1151,A:A,A1151,D:D,D1151)</f>
        <v>1</v>
      </c>
      <c r="I1151" t="e">
        <f>SUMIF([1]Mapeamento!$J:$J,A1151,[1]Mapeamento!$L:$L)</f>
        <v>#VALUE!</v>
      </c>
      <c r="J1151" s="1" t="e">
        <f>SUMIF('[1]Map_Meso-Ox'!$C:$C,A1151,'[1]Map_Meso-Ox'!$D:$D)</f>
        <v>#VALUE!</v>
      </c>
      <c r="K1151" s="2" t="e">
        <f t="shared" si="36"/>
        <v>#VALUE!</v>
      </c>
      <c r="L1151" s="1" t="e">
        <f>SUMIF('[1]Map_Meso-Ox'!$C:$C,A1151,'[1]Map_Meso-Ox'!$E:$E)</f>
        <v>#VALUE!</v>
      </c>
      <c r="M1151" s="2" t="e">
        <f t="shared" si="37"/>
        <v>#VALUE!</v>
      </c>
    </row>
    <row r="1152" spans="1:13" x14ac:dyDescent="0.25">
      <c r="A1152">
        <v>51</v>
      </c>
      <c r="B1152">
        <v>3</v>
      </c>
      <c r="C1152">
        <v>21.795000000000002</v>
      </c>
      <c r="D1152">
        <v>5.3E-3</v>
      </c>
      <c r="E1152" t="s">
        <v>23</v>
      </c>
      <c r="F1152">
        <v>0</v>
      </c>
      <c r="G1152">
        <f>COUNTIF(E:E,E1152)</f>
        <v>110</v>
      </c>
      <c r="H1152">
        <f>COUNTIFS(E:E,E1152,A:A,A1152,D:D,D1152)</f>
        <v>1</v>
      </c>
      <c r="I1152" t="e">
        <f>SUMIF([1]Mapeamento!$J:$J,A1152,[1]Mapeamento!$L:$L)</f>
        <v>#VALUE!</v>
      </c>
      <c r="J1152" s="1" t="e">
        <f>SUMIF('[1]Map_Meso-Ox'!$C:$C,A1152,'[1]Map_Meso-Ox'!$D:$D)</f>
        <v>#VALUE!</v>
      </c>
      <c r="K1152" s="2" t="e">
        <f t="shared" si="36"/>
        <v>#VALUE!</v>
      </c>
      <c r="L1152" s="1" t="e">
        <f>SUMIF('[1]Map_Meso-Ox'!$C:$C,A1152,'[1]Map_Meso-Ox'!$E:$E)</f>
        <v>#VALUE!</v>
      </c>
      <c r="M1152" s="2" t="e">
        <f t="shared" si="37"/>
        <v>#VALUE!</v>
      </c>
    </row>
    <row r="1153" spans="1:13" x14ac:dyDescent="0.25">
      <c r="A1153">
        <v>52</v>
      </c>
      <c r="B1153">
        <v>3</v>
      </c>
      <c r="C1153">
        <v>29.995999999999999</v>
      </c>
      <c r="D1153">
        <v>2.0000000000000001E-4</v>
      </c>
      <c r="E1153" t="s">
        <v>23</v>
      </c>
      <c r="F1153">
        <v>1</v>
      </c>
      <c r="G1153">
        <f>COUNTIF(E:E,E1153)</f>
        <v>110</v>
      </c>
      <c r="H1153">
        <f>COUNTIFS(E:E,E1153,A:A,A1153,D:D,D1153)</f>
        <v>1</v>
      </c>
      <c r="I1153" t="e">
        <f>SUMIF([1]Mapeamento!$J:$J,A1153,[1]Mapeamento!$L:$L)</f>
        <v>#VALUE!</v>
      </c>
      <c r="J1153" s="1" t="e">
        <f>SUMIF('[1]Map_Meso-Ox'!$C:$C,A1153,'[1]Map_Meso-Ox'!$D:$D)</f>
        <v>#VALUE!</v>
      </c>
      <c r="K1153" s="2" t="e">
        <f t="shared" si="36"/>
        <v>#VALUE!</v>
      </c>
      <c r="L1153" s="1" t="e">
        <f>SUMIF('[1]Map_Meso-Ox'!$C:$C,A1153,'[1]Map_Meso-Ox'!$E:$E)</f>
        <v>#VALUE!</v>
      </c>
      <c r="M1153" s="2" t="e">
        <f t="shared" si="37"/>
        <v>#VALUE!</v>
      </c>
    </row>
    <row r="1154" spans="1:13" x14ac:dyDescent="0.25">
      <c r="A1154">
        <v>53</v>
      </c>
      <c r="B1154">
        <v>3</v>
      </c>
      <c r="C1154">
        <v>42.881999999999998</v>
      </c>
      <c r="D1154">
        <v>0</v>
      </c>
      <c r="E1154" t="s">
        <v>23</v>
      </c>
      <c r="F1154">
        <v>3</v>
      </c>
      <c r="G1154">
        <f>COUNTIF(E:E,E1154)</f>
        <v>110</v>
      </c>
      <c r="H1154">
        <f>COUNTIFS(E:E,E1154,A:A,A1154,D:D,D1154)</f>
        <v>1</v>
      </c>
      <c r="I1154" t="e">
        <f>SUMIF([1]Mapeamento!$J:$J,A1154,[1]Mapeamento!$L:$L)</f>
        <v>#VALUE!</v>
      </c>
      <c r="J1154" s="1" t="e">
        <f>SUMIF('[1]Map_Meso-Ox'!$C:$C,A1154,'[1]Map_Meso-Ox'!$D:$D)</f>
        <v>#VALUE!</v>
      </c>
      <c r="K1154" s="2" t="e">
        <f t="shared" si="36"/>
        <v>#VALUE!</v>
      </c>
      <c r="L1154" s="1" t="e">
        <f>SUMIF('[1]Map_Meso-Ox'!$C:$C,A1154,'[1]Map_Meso-Ox'!$E:$E)</f>
        <v>#VALUE!</v>
      </c>
      <c r="M1154" s="2" t="e">
        <f t="shared" si="37"/>
        <v>#VALUE!</v>
      </c>
    </row>
    <row r="1155" spans="1:13" x14ac:dyDescent="0.25">
      <c r="A1155">
        <v>54</v>
      </c>
      <c r="B1155">
        <v>3</v>
      </c>
      <c r="C1155">
        <v>37.222000000000001</v>
      </c>
      <c r="D1155">
        <v>0</v>
      </c>
      <c r="E1155" t="s">
        <v>23</v>
      </c>
      <c r="F1155">
        <v>1</v>
      </c>
      <c r="G1155">
        <f>COUNTIF(E:E,E1155)</f>
        <v>110</v>
      </c>
      <c r="H1155">
        <f>COUNTIFS(E:E,E1155,A:A,A1155,D:D,D1155)</f>
        <v>1</v>
      </c>
      <c r="I1155" t="e">
        <f>SUMIF([1]Mapeamento!$J:$J,A1155,[1]Mapeamento!$L:$L)</f>
        <v>#VALUE!</v>
      </c>
      <c r="J1155" s="1" t="e">
        <f>SUMIF('[1]Map_Meso-Ox'!$C:$C,A1155,'[1]Map_Meso-Ox'!$D:$D)</f>
        <v>#VALUE!</v>
      </c>
      <c r="K1155" s="2" t="e">
        <f t="shared" si="36"/>
        <v>#VALUE!</v>
      </c>
      <c r="L1155" s="1" t="e">
        <f>SUMIF('[1]Map_Meso-Ox'!$C:$C,A1155,'[1]Map_Meso-Ox'!$E:$E)</f>
        <v>#VALUE!</v>
      </c>
      <c r="M1155" s="2" t="e">
        <f t="shared" si="37"/>
        <v>#VALUE!</v>
      </c>
    </row>
    <row r="1156" spans="1:13" x14ac:dyDescent="0.25">
      <c r="A1156">
        <v>55</v>
      </c>
      <c r="B1156">
        <v>3</v>
      </c>
      <c r="C1156">
        <v>31.79</v>
      </c>
      <c r="D1156">
        <v>1E-4</v>
      </c>
      <c r="E1156" t="s">
        <v>23</v>
      </c>
      <c r="F1156">
        <v>1</v>
      </c>
      <c r="G1156">
        <f>COUNTIF(E:E,E1156)</f>
        <v>110</v>
      </c>
      <c r="H1156">
        <f>COUNTIFS(E:E,E1156,A:A,A1156,D:D,D1156)</f>
        <v>1</v>
      </c>
      <c r="I1156" t="e">
        <f>SUMIF([1]Mapeamento!$J:$J,A1156,[1]Mapeamento!$L:$L)</f>
        <v>#VALUE!</v>
      </c>
      <c r="J1156" s="1" t="e">
        <f>SUMIF('[1]Map_Meso-Ox'!$C:$C,A1156,'[1]Map_Meso-Ox'!$D:$D)</f>
        <v>#VALUE!</v>
      </c>
      <c r="K1156" s="2" t="e">
        <f t="shared" si="36"/>
        <v>#VALUE!</v>
      </c>
      <c r="L1156" s="1" t="e">
        <f>SUMIF('[1]Map_Meso-Ox'!$C:$C,A1156,'[1]Map_Meso-Ox'!$E:$E)</f>
        <v>#VALUE!</v>
      </c>
      <c r="M1156" s="2" t="e">
        <f t="shared" si="37"/>
        <v>#VALUE!</v>
      </c>
    </row>
    <row r="1157" spans="1:13" x14ac:dyDescent="0.25">
      <c r="A1157">
        <v>56</v>
      </c>
      <c r="B1157">
        <v>3</v>
      </c>
      <c r="C1157">
        <v>36.067999999999998</v>
      </c>
      <c r="D1157">
        <v>0</v>
      </c>
      <c r="E1157" t="s">
        <v>23</v>
      </c>
      <c r="F1157">
        <v>1</v>
      </c>
      <c r="G1157">
        <f>COUNTIF(E:E,E1157)</f>
        <v>110</v>
      </c>
      <c r="H1157">
        <f>COUNTIFS(E:E,E1157,A:A,A1157,D:D,D1157)</f>
        <v>1</v>
      </c>
      <c r="I1157" t="e">
        <f>SUMIF([1]Mapeamento!$J:$J,A1157,[1]Mapeamento!$L:$L)</f>
        <v>#VALUE!</v>
      </c>
      <c r="J1157" s="1" t="e">
        <f>SUMIF('[1]Map_Meso-Ox'!$C:$C,A1157,'[1]Map_Meso-Ox'!$D:$D)</f>
        <v>#VALUE!</v>
      </c>
      <c r="K1157" s="2" t="e">
        <f t="shared" si="36"/>
        <v>#VALUE!</v>
      </c>
      <c r="L1157" s="1" t="e">
        <f>SUMIF('[1]Map_Meso-Ox'!$C:$C,A1157,'[1]Map_Meso-Ox'!$E:$E)</f>
        <v>#VALUE!</v>
      </c>
      <c r="M1157" s="2" t="e">
        <f t="shared" si="37"/>
        <v>#VALUE!</v>
      </c>
    </row>
    <row r="1158" spans="1:13" x14ac:dyDescent="0.25">
      <c r="A1158">
        <v>57</v>
      </c>
      <c r="B1158">
        <v>3</v>
      </c>
      <c r="C1158">
        <v>21.629000000000001</v>
      </c>
      <c r="D1158">
        <v>5.7000000000000002E-3</v>
      </c>
      <c r="E1158" t="s">
        <v>23</v>
      </c>
      <c r="F1158">
        <v>0</v>
      </c>
      <c r="G1158">
        <f>COUNTIF(E:E,E1158)</f>
        <v>110</v>
      </c>
      <c r="H1158">
        <f>COUNTIFS(E:E,E1158,A:A,A1158,D:D,D1158)</f>
        <v>1</v>
      </c>
      <c r="I1158" t="e">
        <f>SUMIF([1]Mapeamento!$J:$J,A1158,[1]Mapeamento!$L:$L)</f>
        <v>#VALUE!</v>
      </c>
      <c r="J1158" s="1" t="e">
        <f>SUMIF('[1]Map_Meso-Ox'!$C:$C,A1158,'[1]Map_Meso-Ox'!$D:$D)</f>
        <v>#VALUE!</v>
      </c>
      <c r="K1158" s="2" t="e">
        <f t="shared" si="36"/>
        <v>#VALUE!</v>
      </c>
      <c r="L1158" s="1" t="e">
        <f>SUMIF('[1]Map_Meso-Ox'!$C:$C,A1158,'[1]Map_Meso-Ox'!$E:$E)</f>
        <v>#VALUE!</v>
      </c>
      <c r="M1158" s="2" t="e">
        <f t="shared" si="37"/>
        <v>#VALUE!</v>
      </c>
    </row>
    <row r="1159" spans="1:13" x14ac:dyDescent="0.25">
      <c r="A1159">
        <v>58</v>
      </c>
      <c r="B1159">
        <v>3</v>
      </c>
      <c r="C1159">
        <v>35.326000000000001</v>
      </c>
      <c r="D1159">
        <v>0</v>
      </c>
      <c r="E1159" t="s">
        <v>23</v>
      </c>
      <c r="F1159">
        <v>1</v>
      </c>
      <c r="G1159">
        <f>COUNTIF(E:E,E1159)</f>
        <v>110</v>
      </c>
      <c r="H1159">
        <f>COUNTIFS(E:E,E1159,A:A,A1159,D:D,D1159)</f>
        <v>1</v>
      </c>
      <c r="I1159" t="e">
        <f>SUMIF([1]Mapeamento!$J:$J,A1159,[1]Mapeamento!$L:$L)</f>
        <v>#VALUE!</v>
      </c>
      <c r="J1159" s="1" t="e">
        <f>SUMIF('[1]Map_Meso-Ox'!$C:$C,A1159,'[1]Map_Meso-Ox'!$D:$D)</f>
        <v>#VALUE!</v>
      </c>
      <c r="K1159" s="2" t="e">
        <f t="shared" si="36"/>
        <v>#VALUE!</v>
      </c>
      <c r="L1159" s="1" t="e">
        <f>SUMIF('[1]Map_Meso-Ox'!$C:$C,A1159,'[1]Map_Meso-Ox'!$E:$E)</f>
        <v>#VALUE!</v>
      </c>
      <c r="M1159" s="2" t="e">
        <f t="shared" si="37"/>
        <v>#VALUE!</v>
      </c>
    </row>
    <row r="1160" spans="1:13" x14ac:dyDescent="0.25">
      <c r="A1160">
        <v>59</v>
      </c>
      <c r="B1160">
        <v>3</v>
      </c>
      <c r="C1160">
        <v>33.950000000000003</v>
      </c>
      <c r="D1160">
        <v>0</v>
      </c>
      <c r="E1160" t="s">
        <v>23</v>
      </c>
      <c r="F1160">
        <v>1</v>
      </c>
      <c r="G1160">
        <f>COUNTIF(E:E,E1160)</f>
        <v>110</v>
      </c>
      <c r="H1160">
        <f>COUNTIFS(E:E,E1160,A:A,A1160,D:D,D1160)</f>
        <v>1</v>
      </c>
      <c r="I1160" t="e">
        <f>SUMIF([1]Mapeamento!$J:$J,A1160,[1]Mapeamento!$L:$L)</f>
        <v>#VALUE!</v>
      </c>
      <c r="J1160" s="1" t="e">
        <f>SUMIF('[1]Map_Meso-Ox'!$C:$C,A1160,'[1]Map_Meso-Ox'!$D:$D)</f>
        <v>#VALUE!</v>
      </c>
      <c r="K1160" s="2" t="e">
        <f t="shared" si="36"/>
        <v>#VALUE!</v>
      </c>
      <c r="L1160" s="1" t="e">
        <f>SUMIF('[1]Map_Meso-Ox'!$C:$C,A1160,'[1]Map_Meso-Ox'!$E:$E)</f>
        <v>#VALUE!</v>
      </c>
      <c r="M1160" s="2" t="e">
        <f t="shared" si="37"/>
        <v>#VALUE!</v>
      </c>
    </row>
    <row r="1161" spans="1:13" x14ac:dyDescent="0.25">
      <c r="A1161">
        <v>60</v>
      </c>
      <c r="B1161">
        <v>3</v>
      </c>
      <c r="C1161">
        <v>30.268000000000001</v>
      </c>
      <c r="D1161">
        <v>2.0000000000000001E-4</v>
      </c>
      <c r="E1161" t="s">
        <v>23</v>
      </c>
      <c r="F1161">
        <v>1</v>
      </c>
      <c r="G1161">
        <f>COUNTIF(E:E,E1161)</f>
        <v>110</v>
      </c>
      <c r="H1161">
        <f>COUNTIFS(E:E,E1161,A:A,A1161,D:D,D1161)</f>
        <v>1</v>
      </c>
      <c r="I1161" t="e">
        <f>SUMIF([1]Mapeamento!$J:$J,A1161,[1]Mapeamento!$L:$L)</f>
        <v>#VALUE!</v>
      </c>
      <c r="J1161" s="1" t="e">
        <f>SUMIF('[1]Map_Meso-Ox'!$C:$C,A1161,'[1]Map_Meso-Ox'!$D:$D)</f>
        <v>#VALUE!</v>
      </c>
      <c r="K1161" s="2" t="e">
        <f t="shared" si="36"/>
        <v>#VALUE!</v>
      </c>
      <c r="L1161" s="1" t="e">
        <f>SUMIF('[1]Map_Meso-Ox'!$C:$C,A1161,'[1]Map_Meso-Ox'!$E:$E)</f>
        <v>#VALUE!</v>
      </c>
      <c r="M1161" s="2" t="e">
        <f t="shared" si="37"/>
        <v>#VALUE!</v>
      </c>
    </row>
    <row r="1162" spans="1:13" x14ac:dyDescent="0.25">
      <c r="A1162">
        <v>61</v>
      </c>
      <c r="B1162">
        <v>3</v>
      </c>
      <c r="C1162">
        <v>21.332999999999998</v>
      </c>
      <c r="D1162">
        <v>6.3E-3</v>
      </c>
      <c r="E1162" t="s">
        <v>23</v>
      </c>
      <c r="F1162">
        <v>0</v>
      </c>
      <c r="G1162">
        <f>COUNTIF(E:E,E1162)</f>
        <v>110</v>
      </c>
      <c r="H1162">
        <f>COUNTIFS(E:E,E1162,A:A,A1162,D:D,D1162)</f>
        <v>1</v>
      </c>
      <c r="I1162" t="e">
        <f>SUMIF([1]Mapeamento!$J:$J,A1162,[1]Mapeamento!$L:$L)</f>
        <v>#VALUE!</v>
      </c>
      <c r="J1162" s="1" t="e">
        <f>SUMIF('[1]Map_Meso-Ox'!$C:$C,A1162,'[1]Map_Meso-Ox'!$D:$D)</f>
        <v>#VALUE!</v>
      </c>
      <c r="K1162" s="2" t="e">
        <f t="shared" si="36"/>
        <v>#VALUE!</v>
      </c>
      <c r="L1162" s="1" t="e">
        <f>SUMIF('[1]Map_Meso-Ox'!$C:$C,A1162,'[1]Map_Meso-Ox'!$E:$E)</f>
        <v>#VALUE!</v>
      </c>
      <c r="M1162" s="2" t="e">
        <f t="shared" si="37"/>
        <v>#VALUE!</v>
      </c>
    </row>
    <row r="1163" spans="1:13" x14ac:dyDescent="0.25">
      <c r="A1163">
        <v>62</v>
      </c>
      <c r="B1163">
        <v>3</v>
      </c>
      <c r="C1163">
        <v>38.192999999999998</v>
      </c>
      <c r="D1163">
        <v>0</v>
      </c>
      <c r="E1163" t="s">
        <v>23</v>
      </c>
      <c r="F1163">
        <v>1</v>
      </c>
      <c r="G1163">
        <f>COUNTIF(E:E,E1163)</f>
        <v>110</v>
      </c>
      <c r="H1163">
        <f>COUNTIFS(E:E,E1163,A:A,A1163,D:D,D1163)</f>
        <v>1</v>
      </c>
      <c r="I1163" t="e">
        <f>SUMIF([1]Mapeamento!$J:$J,A1163,[1]Mapeamento!$L:$L)</f>
        <v>#VALUE!</v>
      </c>
      <c r="J1163" s="1" t="e">
        <f>SUMIF('[1]Map_Meso-Ox'!$C:$C,A1163,'[1]Map_Meso-Ox'!$D:$D)</f>
        <v>#VALUE!</v>
      </c>
      <c r="K1163" s="2" t="e">
        <f t="shared" si="36"/>
        <v>#VALUE!</v>
      </c>
      <c r="L1163" s="1" t="e">
        <f>SUMIF('[1]Map_Meso-Ox'!$C:$C,A1163,'[1]Map_Meso-Ox'!$E:$E)</f>
        <v>#VALUE!</v>
      </c>
      <c r="M1163" s="2" t="e">
        <f t="shared" si="37"/>
        <v>#VALUE!</v>
      </c>
    </row>
    <row r="1164" spans="1:13" x14ac:dyDescent="0.25">
      <c r="A1164">
        <v>63</v>
      </c>
      <c r="B1164">
        <v>3</v>
      </c>
      <c r="C1164">
        <v>25.827999999999999</v>
      </c>
      <c r="D1164">
        <v>1.1000000000000001E-3</v>
      </c>
      <c r="E1164" t="s">
        <v>23</v>
      </c>
      <c r="F1164">
        <v>1</v>
      </c>
      <c r="G1164">
        <f>COUNTIF(E:E,E1164)</f>
        <v>110</v>
      </c>
      <c r="H1164">
        <f>COUNTIFS(E:E,E1164,A:A,A1164,D:D,D1164)</f>
        <v>1</v>
      </c>
      <c r="I1164" t="e">
        <f>SUMIF([1]Mapeamento!$J:$J,A1164,[1]Mapeamento!$L:$L)</f>
        <v>#VALUE!</v>
      </c>
      <c r="J1164" s="1" t="e">
        <f>SUMIF('[1]Map_Meso-Ox'!$C:$C,A1164,'[1]Map_Meso-Ox'!$D:$D)</f>
        <v>#VALUE!</v>
      </c>
      <c r="K1164" s="2" t="e">
        <f t="shared" si="36"/>
        <v>#VALUE!</v>
      </c>
      <c r="L1164" s="1" t="e">
        <f>SUMIF('[1]Map_Meso-Ox'!$C:$C,A1164,'[1]Map_Meso-Ox'!$E:$E)</f>
        <v>#VALUE!</v>
      </c>
      <c r="M1164" s="2" t="e">
        <f t="shared" si="37"/>
        <v>#VALUE!</v>
      </c>
    </row>
    <row r="1165" spans="1:13" x14ac:dyDescent="0.25">
      <c r="A1165">
        <v>64</v>
      </c>
      <c r="B1165">
        <v>3</v>
      </c>
      <c r="C1165">
        <v>24.876000000000001</v>
      </c>
      <c r="D1165">
        <v>1.6000000000000001E-3</v>
      </c>
      <c r="E1165" t="s">
        <v>23</v>
      </c>
      <c r="F1165">
        <v>0</v>
      </c>
      <c r="G1165">
        <f>COUNTIF(E:E,E1165)</f>
        <v>110</v>
      </c>
      <c r="H1165">
        <f>COUNTIFS(E:E,E1165,A:A,A1165,D:D,D1165)</f>
        <v>1</v>
      </c>
      <c r="I1165" t="e">
        <f>SUMIF([1]Mapeamento!$J:$J,A1165,[1]Mapeamento!$L:$L)</f>
        <v>#VALUE!</v>
      </c>
      <c r="J1165" s="1" t="e">
        <f>SUMIF('[1]Map_Meso-Ox'!$C:$C,A1165,'[1]Map_Meso-Ox'!$D:$D)</f>
        <v>#VALUE!</v>
      </c>
      <c r="K1165" s="2" t="e">
        <f t="shared" si="36"/>
        <v>#VALUE!</v>
      </c>
      <c r="L1165" s="1" t="e">
        <f>SUMIF('[1]Map_Meso-Ox'!$C:$C,A1165,'[1]Map_Meso-Ox'!$E:$E)</f>
        <v>#VALUE!</v>
      </c>
      <c r="M1165" s="2" t="e">
        <f t="shared" si="37"/>
        <v>#VALUE!</v>
      </c>
    </row>
    <row r="1166" spans="1:13" x14ac:dyDescent="0.25">
      <c r="A1166">
        <v>65</v>
      </c>
      <c r="B1166">
        <v>3</v>
      </c>
      <c r="C1166">
        <v>48.731999999999999</v>
      </c>
      <c r="D1166">
        <v>0</v>
      </c>
      <c r="E1166" t="s">
        <v>23</v>
      </c>
      <c r="F1166">
        <v>2</v>
      </c>
      <c r="G1166">
        <f>COUNTIF(E:E,E1166)</f>
        <v>110</v>
      </c>
      <c r="H1166">
        <f>COUNTIFS(E:E,E1166,A:A,A1166,D:D,D1166)</f>
        <v>1</v>
      </c>
      <c r="I1166" t="e">
        <f>SUMIF([1]Mapeamento!$J:$J,A1166,[1]Mapeamento!$L:$L)</f>
        <v>#VALUE!</v>
      </c>
      <c r="J1166" s="1" t="e">
        <f>SUMIF('[1]Map_Meso-Ox'!$C:$C,A1166,'[1]Map_Meso-Ox'!$D:$D)</f>
        <v>#VALUE!</v>
      </c>
      <c r="K1166" s="2" t="e">
        <f t="shared" si="36"/>
        <v>#VALUE!</v>
      </c>
      <c r="L1166" s="1" t="e">
        <f>SUMIF('[1]Map_Meso-Ox'!$C:$C,A1166,'[1]Map_Meso-Ox'!$E:$E)</f>
        <v>#VALUE!</v>
      </c>
      <c r="M1166" s="2" t="e">
        <f t="shared" si="37"/>
        <v>#VALUE!</v>
      </c>
    </row>
    <row r="1167" spans="1:13" x14ac:dyDescent="0.25">
      <c r="A1167">
        <v>66</v>
      </c>
      <c r="B1167">
        <v>3</v>
      </c>
      <c r="C1167">
        <v>12.925000000000001</v>
      </c>
      <c r="D1167">
        <v>0.1145</v>
      </c>
      <c r="E1167" t="s">
        <v>23</v>
      </c>
      <c r="F1167">
        <v>1</v>
      </c>
      <c r="G1167">
        <f>COUNTIF(E:E,E1167)</f>
        <v>110</v>
      </c>
      <c r="H1167">
        <f>COUNTIFS(E:E,E1167,A:A,A1167,D:D,D1167)</f>
        <v>1</v>
      </c>
      <c r="I1167" t="e">
        <f>SUMIF([1]Mapeamento!$J:$J,A1167,[1]Mapeamento!$L:$L)</f>
        <v>#VALUE!</v>
      </c>
      <c r="J1167" s="1" t="e">
        <f>SUMIF('[1]Map_Meso-Ox'!$C:$C,A1167,'[1]Map_Meso-Ox'!$D:$D)</f>
        <v>#VALUE!</v>
      </c>
      <c r="K1167" s="2" t="e">
        <f t="shared" si="36"/>
        <v>#VALUE!</v>
      </c>
      <c r="L1167" s="1" t="e">
        <f>SUMIF('[1]Map_Meso-Ox'!$C:$C,A1167,'[1]Map_Meso-Ox'!$E:$E)</f>
        <v>#VALUE!</v>
      </c>
      <c r="M1167" s="2" t="e">
        <f t="shared" si="37"/>
        <v>#VALUE!</v>
      </c>
    </row>
    <row r="1168" spans="1:13" x14ac:dyDescent="0.25">
      <c r="A1168">
        <v>67</v>
      </c>
      <c r="B1168">
        <v>3</v>
      </c>
      <c r="C1168">
        <v>30.239000000000001</v>
      </c>
      <c r="D1168">
        <v>2.0000000000000001E-4</v>
      </c>
      <c r="E1168" t="s">
        <v>23</v>
      </c>
      <c r="F1168">
        <v>1</v>
      </c>
      <c r="G1168">
        <f>COUNTIF(E:E,E1168)</f>
        <v>110</v>
      </c>
      <c r="H1168">
        <f>COUNTIFS(E:E,E1168,A:A,A1168,D:D,D1168)</f>
        <v>1</v>
      </c>
      <c r="I1168" t="e">
        <f>SUMIF([1]Mapeamento!$J:$J,A1168,[1]Mapeamento!$L:$L)</f>
        <v>#VALUE!</v>
      </c>
      <c r="J1168" s="1" t="e">
        <f>SUMIF('[1]Map_Meso-Ox'!$C:$C,A1168,'[1]Map_Meso-Ox'!$D:$D)</f>
        <v>#VALUE!</v>
      </c>
      <c r="K1168" s="2" t="e">
        <f t="shared" si="36"/>
        <v>#VALUE!</v>
      </c>
      <c r="L1168" s="1" t="e">
        <f>SUMIF('[1]Map_Meso-Ox'!$C:$C,A1168,'[1]Map_Meso-Ox'!$E:$E)</f>
        <v>#VALUE!</v>
      </c>
      <c r="M1168" s="2" t="e">
        <f t="shared" si="37"/>
        <v>#VALUE!</v>
      </c>
    </row>
    <row r="1169" spans="1:13" x14ac:dyDescent="0.25">
      <c r="A1169">
        <v>68</v>
      </c>
      <c r="B1169">
        <v>3</v>
      </c>
      <c r="C1169">
        <v>51.15</v>
      </c>
      <c r="D1169">
        <v>0</v>
      </c>
      <c r="E1169" t="s">
        <v>23</v>
      </c>
      <c r="F1169">
        <v>3</v>
      </c>
      <c r="G1169">
        <f>COUNTIF(E:E,E1169)</f>
        <v>110</v>
      </c>
      <c r="H1169">
        <f>COUNTIFS(E:E,E1169,A:A,A1169,D:D,D1169)</f>
        <v>1</v>
      </c>
      <c r="I1169" t="e">
        <f>SUMIF([1]Mapeamento!$J:$J,A1169,[1]Mapeamento!$L:$L)</f>
        <v>#VALUE!</v>
      </c>
      <c r="J1169" s="1" t="e">
        <f>SUMIF('[1]Map_Meso-Ox'!$C:$C,A1169,'[1]Map_Meso-Ox'!$D:$D)</f>
        <v>#VALUE!</v>
      </c>
      <c r="K1169" s="2" t="e">
        <f t="shared" si="36"/>
        <v>#VALUE!</v>
      </c>
      <c r="L1169" s="1" t="e">
        <f>SUMIF('[1]Map_Meso-Ox'!$C:$C,A1169,'[1]Map_Meso-Ox'!$E:$E)</f>
        <v>#VALUE!</v>
      </c>
      <c r="M1169" s="2" t="e">
        <f t="shared" si="37"/>
        <v>#VALUE!</v>
      </c>
    </row>
    <row r="1170" spans="1:13" x14ac:dyDescent="0.25">
      <c r="A1170">
        <v>69</v>
      </c>
      <c r="B1170">
        <v>3</v>
      </c>
      <c r="C1170">
        <v>17.271999999999998</v>
      </c>
      <c r="D1170">
        <v>2.7400000000000001E-2</v>
      </c>
      <c r="E1170" t="s">
        <v>23</v>
      </c>
      <c r="F1170">
        <v>0</v>
      </c>
      <c r="G1170">
        <f>COUNTIF(E:E,E1170)</f>
        <v>110</v>
      </c>
      <c r="H1170">
        <f>COUNTIFS(E:E,E1170,A:A,A1170,D:D,D1170)</f>
        <v>1</v>
      </c>
      <c r="I1170" t="e">
        <f>SUMIF([1]Mapeamento!$J:$J,A1170,[1]Mapeamento!$L:$L)</f>
        <v>#VALUE!</v>
      </c>
      <c r="J1170" s="1" t="e">
        <f>SUMIF('[1]Map_Meso-Ox'!$C:$C,A1170,'[1]Map_Meso-Ox'!$D:$D)</f>
        <v>#VALUE!</v>
      </c>
      <c r="K1170" s="2" t="e">
        <f t="shared" si="36"/>
        <v>#VALUE!</v>
      </c>
      <c r="L1170" s="1" t="e">
        <f>SUMIF('[1]Map_Meso-Ox'!$C:$C,A1170,'[1]Map_Meso-Ox'!$E:$E)</f>
        <v>#VALUE!</v>
      </c>
      <c r="M1170" s="2" t="e">
        <f t="shared" si="37"/>
        <v>#VALUE!</v>
      </c>
    </row>
    <row r="1171" spans="1:13" x14ac:dyDescent="0.25">
      <c r="A1171">
        <v>70</v>
      </c>
      <c r="B1171">
        <v>3</v>
      </c>
      <c r="C1171">
        <v>31.263999999999999</v>
      </c>
      <c r="D1171">
        <v>1E-4</v>
      </c>
      <c r="E1171" t="s">
        <v>23</v>
      </c>
      <c r="F1171">
        <v>1</v>
      </c>
      <c r="G1171">
        <f>COUNTIF(E:E,E1171)</f>
        <v>110</v>
      </c>
      <c r="H1171">
        <f>COUNTIFS(E:E,E1171,A:A,A1171,D:D,D1171)</f>
        <v>1</v>
      </c>
      <c r="I1171" t="e">
        <f>SUMIF([1]Mapeamento!$J:$J,A1171,[1]Mapeamento!$L:$L)</f>
        <v>#VALUE!</v>
      </c>
      <c r="J1171" s="1" t="e">
        <f>SUMIF('[1]Map_Meso-Ox'!$C:$C,A1171,'[1]Map_Meso-Ox'!$D:$D)</f>
        <v>#VALUE!</v>
      </c>
      <c r="K1171" s="2" t="e">
        <f t="shared" si="36"/>
        <v>#VALUE!</v>
      </c>
      <c r="L1171" s="1" t="e">
        <f>SUMIF('[1]Map_Meso-Ox'!$C:$C,A1171,'[1]Map_Meso-Ox'!$E:$E)</f>
        <v>#VALUE!</v>
      </c>
      <c r="M1171" s="2" t="e">
        <f t="shared" si="37"/>
        <v>#VALUE!</v>
      </c>
    </row>
    <row r="1172" spans="1:13" x14ac:dyDescent="0.25">
      <c r="A1172">
        <v>71</v>
      </c>
      <c r="B1172">
        <v>3</v>
      </c>
      <c r="C1172">
        <v>39.798999999999999</v>
      </c>
      <c r="D1172">
        <v>0</v>
      </c>
      <c r="E1172" t="s">
        <v>23</v>
      </c>
      <c r="F1172">
        <v>2</v>
      </c>
      <c r="G1172">
        <f>COUNTIF(E:E,E1172)</f>
        <v>110</v>
      </c>
      <c r="H1172">
        <f>COUNTIFS(E:E,E1172,A:A,A1172,D:D,D1172)</f>
        <v>1</v>
      </c>
      <c r="I1172" t="e">
        <f>SUMIF([1]Mapeamento!$J:$J,A1172,[1]Mapeamento!$L:$L)</f>
        <v>#VALUE!</v>
      </c>
      <c r="J1172" s="1" t="e">
        <f>SUMIF('[1]Map_Meso-Ox'!$C:$C,A1172,'[1]Map_Meso-Ox'!$D:$D)</f>
        <v>#VALUE!</v>
      </c>
      <c r="K1172" s="2" t="e">
        <f t="shared" si="36"/>
        <v>#VALUE!</v>
      </c>
      <c r="L1172" s="1" t="e">
        <f>SUMIF('[1]Map_Meso-Ox'!$C:$C,A1172,'[1]Map_Meso-Ox'!$E:$E)</f>
        <v>#VALUE!</v>
      </c>
      <c r="M1172" s="2" t="e">
        <f t="shared" si="37"/>
        <v>#VALUE!</v>
      </c>
    </row>
    <row r="1173" spans="1:13" x14ac:dyDescent="0.25">
      <c r="A1173">
        <v>72</v>
      </c>
      <c r="B1173">
        <v>3</v>
      </c>
      <c r="C1173">
        <v>26.114000000000001</v>
      </c>
      <c r="D1173">
        <v>1E-3</v>
      </c>
      <c r="E1173" t="s">
        <v>23</v>
      </c>
      <c r="F1173">
        <v>1</v>
      </c>
      <c r="G1173">
        <f>COUNTIF(E:E,E1173)</f>
        <v>110</v>
      </c>
      <c r="H1173">
        <f>COUNTIFS(E:E,E1173,A:A,A1173,D:D,D1173)</f>
        <v>1</v>
      </c>
      <c r="I1173" t="e">
        <f>SUMIF([1]Mapeamento!$J:$J,A1173,[1]Mapeamento!$L:$L)</f>
        <v>#VALUE!</v>
      </c>
      <c r="J1173" s="1" t="e">
        <f>SUMIF('[1]Map_Meso-Ox'!$C:$C,A1173,'[1]Map_Meso-Ox'!$D:$D)</f>
        <v>#VALUE!</v>
      </c>
      <c r="K1173" s="2" t="e">
        <f t="shared" si="36"/>
        <v>#VALUE!</v>
      </c>
      <c r="L1173" s="1" t="e">
        <f>SUMIF('[1]Map_Meso-Ox'!$C:$C,A1173,'[1]Map_Meso-Ox'!$E:$E)</f>
        <v>#VALUE!</v>
      </c>
      <c r="M1173" s="2" t="e">
        <f t="shared" si="37"/>
        <v>#VALUE!</v>
      </c>
    </row>
    <row r="1174" spans="1:13" x14ac:dyDescent="0.25">
      <c r="A1174">
        <v>73</v>
      </c>
      <c r="B1174">
        <v>3</v>
      </c>
      <c r="C1174">
        <v>42.387999999999998</v>
      </c>
      <c r="D1174">
        <v>0</v>
      </c>
      <c r="E1174" t="s">
        <v>23</v>
      </c>
      <c r="F1174">
        <v>2</v>
      </c>
      <c r="G1174">
        <f>COUNTIF(E:E,E1174)</f>
        <v>110</v>
      </c>
      <c r="H1174">
        <f>COUNTIFS(E:E,E1174,A:A,A1174,D:D,D1174)</f>
        <v>1</v>
      </c>
      <c r="I1174" t="e">
        <f>SUMIF([1]Mapeamento!$J:$J,A1174,[1]Mapeamento!$L:$L)</f>
        <v>#VALUE!</v>
      </c>
      <c r="J1174" s="1" t="e">
        <f>SUMIF('[1]Map_Meso-Ox'!$C:$C,A1174,'[1]Map_Meso-Ox'!$D:$D)</f>
        <v>#VALUE!</v>
      </c>
      <c r="K1174" s="2" t="e">
        <f t="shared" si="36"/>
        <v>#VALUE!</v>
      </c>
      <c r="L1174" s="1" t="e">
        <f>SUMIF('[1]Map_Meso-Ox'!$C:$C,A1174,'[1]Map_Meso-Ox'!$E:$E)</f>
        <v>#VALUE!</v>
      </c>
      <c r="M1174" s="2" t="e">
        <f t="shared" si="37"/>
        <v>#VALUE!</v>
      </c>
    </row>
    <row r="1175" spans="1:13" x14ac:dyDescent="0.25">
      <c r="A1175">
        <v>74</v>
      </c>
      <c r="B1175">
        <v>3</v>
      </c>
      <c r="C1175">
        <v>12.176</v>
      </c>
      <c r="D1175">
        <v>0.14349999999999999</v>
      </c>
      <c r="E1175" t="s">
        <v>23</v>
      </c>
      <c r="F1175">
        <v>0</v>
      </c>
      <c r="G1175">
        <f>COUNTIF(E:E,E1175)</f>
        <v>110</v>
      </c>
      <c r="H1175">
        <f>COUNTIFS(E:E,E1175,A:A,A1175,D:D,D1175)</f>
        <v>1</v>
      </c>
      <c r="I1175" t="e">
        <f>SUMIF([1]Mapeamento!$J:$J,A1175,[1]Mapeamento!$L:$L)</f>
        <v>#VALUE!</v>
      </c>
      <c r="J1175" s="1" t="e">
        <f>SUMIF('[1]Map_Meso-Ox'!$C:$C,A1175,'[1]Map_Meso-Ox'!$D:$D)</f>
        <v>#VALUE!</v>
      </c>
      <c r="K1175" s="2" t="e">
        <f t="shared" si="36"/>
        <v>#VALUE!</v>
      </c>
      <c r="L1175" s="1" t="e">
        <f>SUMIF('[1]Map_Meso-Ox'!$C:$C,A1175,'[1]Map_Meso-Ox'!$E:$E)</f>
        <v>#VALUE!</v>
      </c>
      <c r="M1175" s="2" t="e">
        <f t="shared" si="37"/>
        <v>#VALUE!</v>
      </c>
    </row>
    <row r="1176" spans="1:13" x14ac:dyDescent="0.25">
      <c r="A1176">
        <v>75</v>
      </c>
      <c r="B1176">
        <v>3</v>
      </c>
      <c r="C1176">
        <v>19.591999999999999</v>
      </c>
      <c r="D1176">
        <v>1.2E-2</v>
      </c>
      <c r="E1176" t="s">
        <v>23</v>
      </c>
      <c r="F1176">
        <v>1</v>
      </c>
      <c r="G1176">
        <f>COUNTIF(E:E,E1176)</f>
        <v>110</v>
      </c>
      <c r="H1176">
        <f>COUNTIFS(E:E,E1176,A:A,A1176,D:D,D1176)</f>
        <v>1</v>
      </c>
      <c r="I1176" t="e">
        <f>SUMIF([1]Mapeamento!$J:$J,A1176,[1]Mapeamento!$L:$L)</f>
        <v>#VALUE!</v>
      </c>
      <c r="J1176" s="1" t="e">
        <f>SUMIF('[1]Map_Meso-Ox'!$C:$C,A1176,'[1]Map_Meso-Ox'!$D:$D)</f>
        <v>#VALUE!</v>
      </c>
      <c r="K1176" s="2" t="e">
        <f t="shared" si="36"/>
        <v>#VALUE!</v>
      </c>
      <c r="L1176" s="1" t="e">
        <f>SUMIF('[1]Map_Meso-Ox'!$C:$C,A1176,'[1]Map_Meso-Ox'!$E:$E)</f>
        <v>#VALUE!</v>
      </c>
      <c r="M1176" s="2" t="e">
        <f t="shared" si="37"/>
        <v>#VALUE!</v>
      </c>
    </row>
    <row r="1177" spans="1:13" x14ac:dyDescent="0.25">
      <c r="A1177">
        <v>76</v>
      </c>
      <c r="B1177">
        <v>3</v>
      </c>
      <c r="C1177">
        <v>30.132999999999999</v>
      </c>
      <c r="D1177">
        <v>2.0000000000000001E-4</v>
      </c>
      <c r="E1177" t="s">
        <v>23</v>
      </c>
      <c r="F1177">
        <v>1</v>
      </c>
      <c r="G1177">
        <f>COUNTIF(E:E,E1177)</f>
        <v>110</v>
      </c>
      <c r="H1177">
        <f>COUNTIFS(E:E,E1177,A:A,A1177,D:D,D1177)</f>
        <v>1</v>
      </c>
      <c r="I1177" t="e">
        <f>SUMIF([1]Mapeamento!$J:$J,A1177,[1]Mapeamento!$L:$L)</f>
        <v>#VALUE!</v>
      </c>
      <c r="J1177" s="1" t="e">
        <f>SUMIF('[1]Map_Meso-Ox'!$C:$C,A1177,'[1]Map_Meso-Ox'!$D:$D)</f>
        <v>#VALUE!</v>
      </c>
      <c r="K1177" s="2" t="e">
        <f t="shared" si="36"/>
        <v>#VALUE!</v>
      </c>
      <c r="L1177" s="1" t="e">
        <f>SUMIF('[1]Map_Meso-Ox'!$C:$C,A1177,'[1]Map_Meso-Ox'!$E:$E)</f>
        <v>#VALUE!</v>
      </c>
      <c r="M1177" s="2" t="e">
        <f t="shared" si="37"/>
        <v>#VALUE!</v>
      </c>
    </row>
    <row r="1178" spans="1:13" x14ac:dyDescent="0.25">
      <c r="A1178">
        <v>77</v>
      </c>
      <c r="B1178">
        <v>3</v>
      </c>
      <c r="C1178">
        <v>34.765000000000001</v>
      </c>
      <c r="D1178">
        <v>0</v>
      </c>
      <c r="E1178" t="s">
        <v>23</v>
      </c>
      <c r="F1178">
        <v>1</v>
      </c>
      <c r="G1178">
        <f>COUNTIF(E:E,E1178)</f>
        <v>110</v>
      </c>
      <c r="H1178">
        <f>COUNTIFS(E:E,E1178,A:A,A1178,D:D,D1178)</f>
        <v>1</v>
      </c>
      <c r="I1178" t="e">
        <f>SUMIF([1]Mapeamento!$J:$J,A1178,[1]Mapeamento!$L:$L)</f>
        <v>#VALUE!</v>
      </c>
      <c r="J1178" s="1" t="e">
        <f>SUMIF('[1]Map_Meso-Ox'!$C:$C,A1178,'[1]Map_Meso-Ox'!$D:$D)</f>
        <v>#VALUE!</v>
      </c>
      <c r="K1178" s="2" t="e">
        <f t="shared" si="36"/>
        <v>#VALUE!</v>
      </c>
      <c r="L1178" s="1" t="e">
        <f>SUMIF('[1]Map_Meso-Ox'!$C:$C,A1178,'[1]Map_Meso-Ox'!$E:$E)</f>
        <v>#VALUE!</v>
      </c>
      <c r="M1178" s="2" t="e">
        <f t="shared" si="37"/>
        <v>#VALUE!</v>
      </c>
    </row>
    <row r="1179" spans="1:13" x14ac:dyDescent="0.25">
      <c r="A1179">
        <v>78</v>
      </c>
      <c r="B1179">
        <v>3</v>
      </c>
      <c r="C1179">
        <v>32.020000000000003</v>
      </c>
      <c r="D1179">
        <v>1E-4</v>
      </c>
      <c r="E1179" t="s">
        <v>23</v>
      </c>
      <c r="F1179">
        <v>2</v>
      </c>
      <c r="G1179">
        <f>COUNTIF(E:E,E1179)</f>
        <v>110</v>
      </c>
      <c r="H1179">
        <f>COUNTIFS(E:E,E1179,A:A,A1179,D:D,D1179)</f>
        <v>1</v>
      </c>
      <c r="I1179" t="e">
        <f>SUMIF([1]Mapeamento!$J:$J,A1179,[1]Mapeamento!$L:$L)</f>
        <v>#VALUE!</v>
      </c>
      <c r="J1179" s="1" t="e">
        <f>SUMIF('[1]Map_Meso-Ox'!$C:$C,A1179,'[1]Map_Meso-Ox'!$D:$D)</f>
        <v>#VALUE!</v>
      </c>
      <c r="K1179" s="2" t="e">
        <f t="shared" si="36"/>
        <v>#VALUE!</v>
      </c>
      <c r="L1179" s="1" t="e">
        <f>SUMIF('[1]Map_Meso-Ox'!$C:$C,A1179,'[1]Map_Meso-Ox'!$E:$E)</f>
        <v>#VALUE!</v>
      </c>
      <c r="M1179" s="2" t="e">
        <f t="shared" si="37"/>
        <v>#VALUE!</v>
      </c>
    </row>
    <row r="1180" spans="1:13" x14ac:dyDescent="0.25">
      <c r="A1180">
        <v>79</v>
      </c>
      <c r="B1180">
        <v>3</v>
      </c>
      <c r="C1180">
        <v>24.503</v>
      </c>
      <c r="D1180">
        <v>1.9E-3</v>
      </c>
      <c r="E1180" t="s">
        <v>23</v>
      </c>
      <c r="F1180">
        <v>1</v>
      </c>
      <c r="G1180">
        <f>COUNTIF(E:E,E1180)</f>
        <v>110</v>
      </c>
      <c r="H1180">
        <f>COUNTIFS(E:E,E1180,A:A,A1180,D:D,D1180)</f>
        <v>1</v>
      </c>
      <c r="I1180" t="e">
        <f>SUMIF([1]Mapeamento!$J:$J,A1180,[1]Mapeamento!$L:$L)</f>
        <v>#VALUE!</v>
      </c>
      <c r="J1180" s="1" t="e">
        <f>SUMIF('[1]Map_Meso-Ox'!$C:$C,A1180,'[1]Map_Meso-Ox'!$D:$D)</f>
        <v>#VALUE!</v>
      </c>
      <c r="K1180" s="2" t="e">
        <f t="shared" si="36"/>
        <v>#VALUE!</v>
      </c>
      <c r="L1180" s="1" t="e">
        <f>SUMIF('[1]Map_Meso-Ox'!$C:$C,A1180,'[1]Map_Meso-Ox'!$E:$E)</f>
        <v>#VALUE!</v>
      </c>
      <c r="M1180" s="2" t="e">
        <f t="shared" si="37"/>
        <v>#VALUE!</v>
      </c>
    </row>
    <row r="1181" spans="1:13" x14ac:dyDescent="0.25">
      <c r="A1181">
        <v>80</v>
      </c>
      <c r="B1181">
        <v>3</v>
      </c>
      <c r="C1181">
        <v>31.388000000000002</v>
      </c>
      <c r="D1181">
        <v>1E-4</v>
      </c>
      <c r="E1181" t="s">
        <v>23</v>
      </c>
      <c r="F1181">
        <v>1</v>
      </c>
      <c r="G1181">
        <f>COUNTIF(E:E,E1181)</f>
        <v>110</v>
      </c>
      <c r="H1181">
        <f>COUNTIFS(E:E,E1181,A:A,A1181,D:D,D1181)</f>
        <v>1</v>
      </c>
      <c r="I1181" t="e">
        <f>SUMIF([1]Mapeamento!$J:$J,A1181,[1]Mapeamento!$L:$L)</f>
        <v>#VALUE!</v>
      </c>
      <c r="J1181" s="1" t="e">
        <f>SUMIF('[1]Map_Meso-Ox'!$C:$C,A1181,'[1]Map_Meso-Ox'!$D:$D)</f>
        <v>#VALUE!</v>
      </c>
      <c r="K1181" s="2" t="e">
        <f t="shared" si="36"/>
        <v>#VALUE!</v>
      </c>
      <c r="L1181" s="1" t="e">
        <f>SUMIF('[1]Map_Meso-Ox'!$C:$C,A1181,'[1]Map_Meso-Ox'!$E:$E)</f>
        <v>#VALUE!</v>
      </c>
      <c r="M1181" s="2" t="e">
        <f t="shared" si="37"/>
        <v>#VALUE!</v>
      </c>
    </row>
    <row r="1182" spans="1:13" x14ac:dyDescent="0.25">
      <c r="A1182">
        <v>81</v>
      </c>
      <c r="B1182">
        <v>3</v>
      </c>
      <c r="C1182">
        <v>31.76</v>
      </c>
      <c r="D1182">
        <v>1E-4</v>
      </c>
      <c r="E1182" t="s">
        <v>23</v>
      </c>
      <c r="F1182">
        <v>1</v>
      </c>
      <c r="G1182">
        <f>COUNTIF(E:E,E1182)</f>
        <v>110</v>
      </c>
      <c r="H1182">
        <f>COUNTIFS(E:E,E1182,A:A,A1182,D:D,D1182)</f>
        <v>1</v>
      </c>
      <c r="I1182" t="e">
        <f>SUMIF([1]Mapeamento!$J:$J,A1182,[1]Mapeamento!$L:$L)</f>
        <v>#VALUE!</v>
      </c>
      <c r="J1182" s="1" t="e">
        <f>SUMIF('[1]Map_Meso-Ox'!$C:$C,A1182,'[1]Map_Meso-Ox'!$D:$D)</f>
        <v>#VALUE!</v>
      </c>
      <c r="K1182" s="2" t="e">
        <f t="shared" si="36"/>
        <v>#VALUE!</v>
      </c>
      <c r="L1182" s="1" t="e">
        <f>SUMIF('[1]Map_Meso-Ox'!$C:$C,A1182,'[1]Map_Meso-Ox'!$E:$E)</f>
        <v>#VALUE!</v>
      </c>
      <c r="M1182" s="2" t="e">
        <f t="shared" si="37"/>
        <v>#VALUE!</v>
      </c>
    </row>
    <row r="1183" spans="1:13" x14ac:dyDescent="0.25">
      <c r="A1183">
        <v>82</v>
      </c>
      <c r="B1183">
        <v>3</v>
      </c>
      <c r="C1183">
        <v>29.489000000000001</v>
      </c>
      <c r="D1183">
        <v>2.9999999999999997E-4</v>
      </c>
      <c r="E1183" t="s">
        <v>23</v>
      </c>
      <c r="F1183">
        <v>1</v>
      </c>
      <c r="G1183">
        <f>COUNTIF(E:E,E1183)</f>
        <v>110</v>
      </c>
      <c r="H1183">
        <f>COUNTIFS(E:E,E1183,A:A,A1183,D:D,D1183)</f>
        <v>1</v>
      </c>
      <c r="I1183" t="e">
        <f>SUMIF([1]Mapeamento!$J:$J,A1183,[1]Mapeamento!$L:$L)</f>
        <v>#VALUE!</v>
      </c>
      <c r="J1183" s="1" t="e">
        <f>SUMIF('[1]Map_Meso-Ox'!$C:$C,A1183,'[1]Map_Meso-Ox'!$D:$D)</f>
        <v>#VALUE!</v>
      </c>
      <c r="K1183" s="2" t="e">
        <f t="shared" si="36"/>
        <v>#VALUE!</v>
      </c>
      <c r="L1183" s="1" t="e">
        <f>SUMIF('[1]Map_Meso-Ox'!$C:$C,A1183,'[1]Map_Meso-Ox'!$E:$E)</f>
        <v>#VALUE!</v>
      </c>
      <c r="M1183" s="2" t="e">
        <f t="shared" si="37"/>
        <v>#VALUE!</v>
      </c>
    </row>
    <row r="1184" spans="1:13" x14ac:dyDescent="0.25">
      <c r="A1184">
        <v>83</v>
      </c>
      <c r="B1184">
        <v>3</v>
      </c>
      <c r="C1184">
        <v>10.42</v>
      </c>
      <c r="D1184">
        <v>0.23680000000000001</v>
      </c>
      <c r="E1184" t="s">
        <v>23</v>
      </c>
      <c r="F1184">
        <v>1</v>
      </c>
      <c r="G1184">
        <f>COUNTIF(E:E,E1184)</f>
        <v>110</v>
      </c>
      <c r="H1184">
        <f>COUNTIFS(E:E,E1184,A:A,A1184,D:D,D1184)</f>
        <v>1</v>
      </c>
      <c r="I1184" t="e">
        <f>SUMIF([1]Mapeamento!$J:$J,A1184,[1]Mapeamento!$L:$L)</f>
        <v>#VALUE!</v>
      </c>
      <c r="J1184" s="1" t="e">
        <f>SUMIF('[1]Map_Meso-Ox'!$C:$C,A1184,'[1]Map_Meso-Ox'!$D:$D)</f>
        <v>#VALUE!</v>
      </c>
      <c r="K1184" s="2" t="e">
        <f t="shared" ref="K1184:K1211" si="38">J1184/203401269</f>
        <v>#VALUE!</v>
      </c>
      <c r="L1184" s="1" t="e">
        <f>SUMIF('[1]Map_Meso-Ox'!$C:$C,A1184,'[1]Map_Meso-Ox'!$E:$E)</f>
        <v>#VALUE!</v>
      </c>
      <c r="M1184" s="2" t="e">
        <f t="shared" ref="M1184:M1211" si="39">L1184/3868725997.715</f>
        <v>#VALUE!</v>
      </c>
    </row>
    <row r="1185" spans="1:13" x14ac:dyDescent="0.25">
      <c r="A1185">
        <v>84</v>
      </c>
      <c r="B1185">
        <v>3</v>
      </c>
      <c r="C1185">
        <v>32.212000000000003</v>
      </c>
      <c r="D1185">
        <v>1E-4</v>
      </c>
      <c r="E1185" t="s">
        <v>23</v>
      </c>
      <c r="F1185">
        <v>2</v>
      </c>
      <c r="G1185">
        <f>COUNTIF(E:E,E1185)</f>
        <v>110</v>
      </c>
      <c r="H1185">
        <f>COUNTIFS(E:E,E1185,A:A,A1185,D:D,D1185)</f>
        <v>1</v>
      </c>
      <c r="I1185" t="e">
        <f>SUMIF([1]Mapeamento!$J:$J,A1185,[1]Mapeamento!$L:$L)</f>
        <v>#VALUE!</v>
      </c>
      <c r="J1185" s="1" t="e">
        <f>SUMIF('[1]Map_Meso-Ox'!$C:$C,A1185,'[1]Map_Meso-Ox'!$D:$D)</f>
        <v>#VALUE!</v>
      </c>
      <c r="K1185" s="2" t="e">
        <f t="shared" si="38"/>
        <v>#VALUE!</v>
      </c>
      <c r="L1185" s="1" t="e">
        <f>SUMIF('[1]Map_Meso-Ox'!$C:$C,A1185,'[1]Map_Meso-Ox'!$E:$E)</f>
        <v>#VALUE!</v>
      </c>
      <c r="M1185" s="2" t="e">
        <f t="shared" si="39"/>
        <v>#VALUE!</v>
      </c>
    </row>
    <row r="1186" spans="1:13" x14ac:dyDescent="0.25">
      <c r="A1186">
        <v>85</v>
      </c>
      <c r="B1186">
        <v>3</v>
      </c>
      <c r="C1186">
        <v>28.398</v>
      </c>
      <c r="D1186">
        <v>4.0000000000000002E-4</v>
      </c>
      <c r="E1186" t="s">
        <v>23</v>
      </c>
      <c r="F1186">
        <v>1</v>
      </c>
      <c r="G1186">
        <f>COUNTIF(E:E,E1186)</f>
        <v>110</v>
      </c>
      <c r="H1186">
        <f>COUNTIFS(E:E,E1186,A:A,A1186,D:D,D1186)</f>
        <v>1</v>
      </c>
      <c r="I1186" t="e">
        <f>SUMIF([1]Mapeamento!$J:$J,A1186,[1]Mapeamento!$L:$L)</f>
        <v>#VALUE!</v>
      </c>
      <c r="J1186" s="1" t="e">
        <f>SUMIF('[1]Map_Meso-Ox'!$C:$C,A1186,'[1]Map_Meso-Ox'!$D:$D)</f>
        <v>#VALUE!</v>
      </c>
      <c r="K1186" s="2" t="e">
        <f t="shared" si="38"/>
        <v>#VALUE!</v>
      </c>
      <c r="L1186" s="1" t="e">
        <f>SUMIF('[1]Map_Meso-Ox'!$C:$C,A1186,'[1]Map_Meso-Ox'!$E:$E)</f>
        <v>#VALUE!</v>
      </c>
      <c r="M1186" s="2" t="e">
        <f t="shared" si="39"/>
        <v>#VALUE!</v>
      </c>
    </row>
    <row r="1187" spans="1:13" x14ac:dyDescent="0.25">
      <c r="A1187">
        <v>86</v>
      </c>
      <c r="B1187">
        <v>3</v>
      </c>
      <c r="C1187">
        <v>23.603000000000002</v>
      </c>
      <c r="D1187">
        <v>2.7000000000000001E-3</v>
      </c>
      <c r="E1187" t="s">
        <v>23</v>
      </c>
      <c r="F1187">
        <v>1</v>
      </c>
      <c r="G1187">
        <f>COUNTIF(E:E,E1187)</f>
        <v>110</v>
      </c>
      <c r="H1187">
        <f>COUNTIFS(E:E,E1187,A:A,A1187,D:D,D1187)</f>
        <v>1</v>
      </c>
      <c r="I1187" t="e">
        <f>SUMIF([1]Mapeamento!$J:$J,A1187,[1]Mapeamento!$L:$L)</f>
        <v>#VALUE!</v>
      </c>
      <c r="J1187" s="1" t="e">
        <f>SUMIF('[1]Map_Meso-Ox'!$C:$C,A1187,'[1]Map_Meso-Ox'!$D:$D)</f>
        <v>#VALUE!</v>
      </c>
      <c r="K1187" s="2" t="e">
        <f t="shared" si="38"/>
        <v>#VALUE!</v>
      </c>
      <c r="L1187" s="1" t="e">
        <f>SUMIF('[1]Map_Meso-Ox'!$C:$C,A1187,'[1]Map_Meso-Ox'!$E:$E)</f>
        <v>#VALUE!</v>
      </c>
      <c r="M1187" s="2" t="e">
        <f t="shared" si="39"/>
        <v>#VALUE!</v>
      </c>
    </row>
    <row r="1188" spans="1:13" x14ac:dyDescent="0.25">
      <c r="A1188">
        <v>87</v>
      </c>
      <c r="B1188">
        <v>3</v>
      </c>
      <c r="C1188">
        <v>28.837</v>
      </c>
      <c r="D1188">
        <v>2.9999999999999997E-4</v>
      </c>
      <c r="E1188" t="s">
        <v>23</v>
      </c>
      <c r="F1188">
        <v>0</v>
      </c>
      <c r="G1188">
        <f>COUNTIF(E:E,E1188)</f>
        <v>110</v>
      </c>
      <c r="H1188">
        <f>COUNTIFS(E:E,E1188,A:A,A1188,D:D,D1188)</f>
        <v>1</v>
      </c>
      <c r="I1188" t="e">
        <f>SUMIF([1]Mapeamento!$J:$J,A1188,[1]Mapeamento!$L:$L)</f>
        <v>#VALUE!</v>
      </c>
      <c r="J1188" s="1" t="e">
        <f>SUMIF('[1]Map_Meso-Ox'!$C:$C,A1188,'[1]Map_Meso-Ox'!$D:$D)</f>
        <v>#VALUE!</v>
      </c>
      <c r="K1188" s="2" t="e">
        <f t="shared" si="38"/>
        <v>#VALUE!</v>
      </c>
      <c r="L1188" s="1" t="e">
        <f>SUMIF('[1]Map_Meso-Ox'!$C:$C,A1188,'[1]Map_Meso-Ox'!$E:$E)</f>
        <v>#VALUE!</v>
      </c>
      <c r="M1188" s="2" t="e">
        <f t="shared" si="39"/>
        <v>#VALUE!</v>
      </c>
    </row>
    <row r="1189" spans="1:13" x14ac:dyDescent="0.25">
      <c r="A1189">
        <v>88</v>
      </c>
      <c r="B1189">
        <v>3</v>
      </c>
      <c r="C1189">
        <v>17.263000000000002</v>
      </c>
      <c r="D1189">
        <v>2.75E-2</v>
      </c>
      <c r="E1189" t="s">
        <v>23</v>
      </c>
      <c r="F1189">
        <v>0</v>
      </c>
      <c r="G1189">
        <f>COUNTIF(E:E,E1189)</f>
        <v>110</v>
      </c>
      <c r="H1189">
        <f>COUNTIFS(E:E,E1189,A:A,A1189,D:D,D1189)</f>
        <v>1</v>
      </c>
      <c r="I1189" t="e">
        <f>SUMIF([1]Mapeamento!$J:$J,A1189,[1]Mapeamento!$L:$L)</f>
        <v>#VALUE!</v>
      </c>
      <c r="J1189" s="1" t="e">
        <f>SUMIF('[1]Map_Meso-Ox'!$C:$C,A1189,'[1]Map_Meso-Ox'!$D:$D)</f>
        <v>#VALUE!</v>
      </c>
      <c r="K1189" s="2" t="e">
        <f t="shared" si="38"/>
        <v>#VALUE!</v>
      </c>
      <c r="L1189" s="1" t="e">
        <f>SUMIF('[1]Map_Meso-Ox'!$C:$C,A1189,'[1]Map_Meso-Ox'!$E:$E)</f>
        <v>#VALUE!</v>
      </c>
      <c r="M1189" s="2" t="e">
        <f t="shared" si="39"/>
        <v>#VALUE!</v>
      </c>
    </row>
    <row r="1190" spans="1:13" x14ac:dyDescent="0.25">
      <c r="A1190">
        <v>89</v>
      </c>
      <c r="B1190">
        <v>3</v>
      </c>
      <c r="C1190">
        <v>13.494999999999999</v>
      </c>
      <c r="D1190">
        <v>9.5899999999999999E-2</v>
      </c>
      <c r="E1190" t="s">
        <v>23</v>
      </c>
      <c r="F1190">
        <v>0</v>
      </c>
      <c r="G1190">
        <f>COUNTIF(E:E,E1190)</f>
        <v>110</v>
      </c>
      <c r="H1190">
        <f>COUNTIFS(E:E,E1190,A:A,A1190,D:D,D1190)</f>
        <v>1</v>
      </c>
      <c r="I1190" t="e">
        <f>SUMIF([1]Mapeamento!$J:$J,A1190,[1]Mapeamento!$L:$L)</f>
        <v>#VALUE!</v>
      </c>
      <c r="J1190" s="1" t="e">
        <f>SUMIF('[1]Map_Meso-Ox'!$C:$C,A1190,'[1]Map_Meso-Ox'!$D:$D)</f>
        <v>#VALUE!</v>
      </c>
      <c r="K1190" s="2" t="e">
        <f t="shared" si="38"/>
        <v>#VALUE!</v>
      </c>
      <c r="L1190" s="1" t="e">
        <f>SUMIF('[1]Map_Meso-Ox'!$C:$C,A1190,'[1]Map_Meso-Ox'!$E:$E)</f>
        <v>#VALUE!</v>
      </c>
      <c r="M1190" s="2" t="e">
        <f t="shared" si="39"/>
        <v>#VALUE!</v>
      </c>
    </row>
    <row r="1191" spans="1:13" x14ac:dyDescent="0.25">
      <c r="A1191">
        <v>90</v>
      </c>
      <c r="B1191">
        <v>3</v>
      </c>
      <c r="C1191">
        <v>26.189</v>
      </c>
      <c r="D1191">
        <v>1E-3</v>
      </c>
      <c r="E1191" t="s">
        <v>23</v>
      </c>
      <c r="F1191">
        <v>1</v>
      </c>
      <c r="G1191">
        <f>COUNTIF(E:E,E1191)</f>
        <v>110</v>
      </c>
      <c r="H1191">
        <f>COUNTIFS(E:E,E1191,A:A,A1191,D:D,D1191)</f>
        <v>1</v>
      </c>
      <c r="I1191" t="e">
        <f>SUMIF([1]Mapeamento!$J:$J,A1191,[1]Mapeamento!$L:$L)</f>
        <v>#VALUE!</v>
      </c>
      <c r="J1191" s="1" t="e">
        <f>SUMIF('[1]Map_Meso-Ox'!$C:$C,A1191,'[1]Map_Meso-Ox'!$D:$D)</f>
        <v>#VALUE!</v>
      </c>
      <c r="K1191" s="2" t="e">
        <f t="shared" si="38"/>
        <v>#VALUE!</v>
      </c>
      <c r="L1191" s="1" t="e">
        <f>SUMIF('[1]Map_Meso-Ox'!$C:$C,A1191,'[1]Map_Meso-Ox'!$E:$E)</f>
        <v>#VALUE!</v>
      </c>
      <c r="M1191" s="2" t="e">
        <f t="shared" si="39"/>
        <v>#VALUE!</v>
      </c>
    </row>
    <row r="1192" spans="1:13" x14ac:dyDescent="0.25">
      <c r="A1192">
        <v>91</v>
      </c>
      <c r="B1192">
        <v>3</v>
      </c>
      <c r="C1192">
        <v>34.947000000000003</v>
      </c>
      <c r="D1192">
        <v>0</v>
      </c>
      <c r="E1192" t="s">
        <v>23</v>
      </c>
      <c r="F1192">
        <v>2</v>
      </c>
      <c r="G1192">
        <f>COUNTIF(E:E,E1192)</f>
        <v>110</v>
      </c>
      <c r="H1192">
        <f>COUNTIFS(E:E,E1192,A:A,A1192,D:D,D1192)</f>
        <v>1</v>
      </c>
      <c r="I1192" t="e">
        <f>SUMIF([1]Mapeamento!$J:$J,A1192,[1]Mapeamento!$L:$L)</f>
        <v>#VALUE!</v>
      </c>
      <c r="J1192" s="1" t="e">
        <f>SUMIF('[1]Map_Meso-Ox'!$C:$C,A1192,'[1]Map_Meso-Ox'!$D:$D)</f>
        <v>#VALUE!</v>
      </c>
      <c r="K1192" s="2" t="e">
        <f t="shared" si="38"/>
        <v>#VALUE!</v>
      </c>
      <c r="L1192" s="1" t="e">
        <f>SUMIF('[1]Map_Meso-Ox'!$C:$C,A1192,'[1]Map_Meso-Ox'!$E:$E)</f>
        <v>#VALUE!</v>
      </c>
      <c r="M1192" s="2" t="e">
        <f t="shared" si="39"/>
        <v>#VALUE!</v>
      </c>
    </row>
    <row r="1193" spans="1:13" x14ac:dyDescent="0.25">
      <c r="A1193">
        <v>92</v>
      </c>
      <c r="B1193">
        <v>3</v>
      </c>
      <c r="C1193">
        <v>34.075000000000003</v>
      </c>
      <c r="D1193">
        <v>0</v>
      </c>
      <c r="E1193" t="s">
        <v>23</v>
      </c>
      <c r="F1193">
        <v>0</v>
      </c>
      <c r="G1193">
        <f>COUNTIF(E:E,E1193)</f>
        <v>110</v>
      </c>
      <c r="H1193">
        <f>COUNTIFS(E:E,E1193,A:A,A1193,D:D,D1193)</f>
        <v>1</v>
      </c>
      <c r="I1193" t="e">
        <f>SUMIF([1]Mapeamento!$J:$J,A1193,[1]Mapeamento!$L:$L)</f>
        <v>#VALUE!</v>
      </c>
      <c r="J1193" s="1" t="e">
        <f>SUMIF('[1]Map_Meso-Ox'!$C:$C,A1193,'[1]Map_Meso-Ox'!$D:$D)</f>
        <v>#VALUE!</v>
      </c>
      <c r="K1193" s="2" t="e">
        <f t="shared" si="38"/>
        <v>#VALUE!</v>
      </c>
      <c r="L1193" s="1" t="e">
        <f>SUMIF('[1]Map_Meso-Ox'!$C:$C,A1193,'[1]Map_Meso-Ox'!$E:$E)</f>
        <v>#VALUE!</v>
      </c>
      <c r="M1193" s="2" t="e">
        <f t="shared" si="39"/>
        <v>#VALUE!</v>
      </c>
    </row>
    <row r="1194" spans="1:13" x14ac:dyDescent="0.25">
      <c r="A1194">
        <v>93</v>
      </c>
      <c r="B1194">
        <v>3</v>
      </c>
      <c r="C1194">
        <v>32.051000000000002</v>
      </c>
      <c r="D1194">
        <v>1E-4</v>
      </c>
      <c r="E1194" t="s">
        <v>23</v>
      </c>
      <c r="F1194">
        <v>0</v>
      </c>
      <c r="G1194">
        <f>COUNTIF(E:E,E1194)</f>
        <v>110</v>
      </c>
      <c r="H1194">
        <f>COUNTIFS(E:E,E1194,A:A,A1194,D:D,D1194)</f>
        <v>1</v>
      </c>
      <c r="I1194" t="e">
        <f>SUMIF([1]Mapeamento!$J:$J,A1194,[1]Mapeamento!$L:$L)</f>
        <v>#VALUE!</v>
      </c>
      <c r="J1194" s="1" t="e">
        <f>SUMIF('[1]Map_Meso-Ox'!$C:$C,A1194,'[1]Map_Meso-Ox'!$D:$D)</f>
        <v>#VALUE!</v>
      </c>
      <c r="K1194" s="2" t="e">
        <f t="shared" si="38"/>
        <v>#VALUE!</v>
      </c>
      <c r="L1194" s="1" t="e">
        <f>SUMIF('[1]Map_Meso-Ox'!$C:$C,A1194,'[1]Map_Meso-Ox'!$E:$E)</f>
        <v>#VALUE!</v>
      </c>
      <c r="M1194" s="2" t="e">
        <f t="shared" si="39"/>
        <v>#VALUE!</v>
      </c>
    </row>
    <row r="1195" spans="1:13" x14ac:dyDescent="0.25">
      <c r="A1195">
        <v>94</v>
      </c>
      <c r="B1195">
        <v>3</v>
      </c>
      <c r="C1195">
        <v>33.238999999999997</v>
      </c>
      <c r="D1195">
        <v>1E-4</v>
      </c>
      <c r="E1195" t="s">
        <v>23</v>
      </c>
      <c r="F1195">
        <v>2</v>
      </c>
      <c r="G1195">
        <f>COUNTIF(E:E,E1195)</f>
        <v>110</v>
      </c>
      <c r="H1195">
        <f>COUNTIFS(E:E,E1195,A:A,A1195,D:D,D1195)</f>
        <v>1</v>
      </c>
      <c r="I1195" t="e">
        <f>SUMIF([1]Mapeamento!$J:$J,A1195,[1]Mapeamento!$L:$L)</f>
        <v>#VALUE!</v>
      </c>
      <c r="J1195" s="1" t="e">
        <f>SUMIF('[1]Map_Meso-Ox'!$C:$C,A1195,'[1]Map_Meso-Ox'!$D:$D)</f>
        <v>#VALUE!</v>
      </c>
      <c r="K1195" s="2" t="e">
        <f t="shared" si="38"/>
        <v>#VALUE!</v>
      </c>
      <c r="L1195" s="1" t="e">
        <f>SUMIF('[1]Map_Meso-Ox'!$C:$C,A1195,'[1]Map_Meso-Ox'!$E:$E)</f>
        <v>#VALUE!</v>
      </c>
      <c r="M1195" s="2" t="e">
        <f t="shared" si="39"/>
        <v>#VALUE!</v>
      </c>
    </row>
    <row r="1196" spans="1:13" x14ac:dyDescent="0.25">
      <c r="A1196">
        <v>95</v>
      </c>
      <c r="B1196">
        <v>3</v>
      </c>
      <c r="C1196">
        <v>23.012</v>
      </c>
      <c r="D1196">
        <v>3.3E-3</v>
      </c>
      <c r="E1196" t="s">
        <v>23</v>
      </c>
      <c r="F1196">
        <v>0</v>
      </c>
      <c r="G1196">
        <f>COUNTIF(E:E,E1196)</f>
        <v>110</v>
      </c>
      <c r="H1196">
        <f>COUNTIFS(E:E,E1196,A:A,A1196,D:D,D1196)</f>
        <v>1</v>
      </c>
      <c r="I1196" t="e">
        <f>SUMIF([1]Mapeamento!$J:$J,A1196,[1]Mapeamento!$L:$L)</f>
        <v>#VALUE!</v>
      </c>
      <c r="J1196" s="1" t="e">
        <f>SUMIF('[1]Map_Meso-Ox'!$C:$C,A1196,'[1]Map_Meso-Ox'!$D:$D)</f>
        <v>#VALUE!</v>
      </c>
      <c r="K1196" s="2" t="e">
        <f t="shared" si="38"/>
        <v>#VALUE!</v>
      </c>
      <c r="L1196" s="1" t="e">
        <f>SUMIF('[1]Map_Meso-Ox'!$C:$C,A1196,'[1]Map_Meso-Ox'!$E:$E)</f>
        <v>#VALUE!</v>
      </c>
      <c r="M1196" s="2" t="e">
        <f t="shared" si="39"/>
        <v>#VALUE!</v>
      </c>
    </row>
    <row r="1197" spans="1:13" x14ac:dyDescent="0.25">
      <c r="A1197">
        <v>96</v>
      </c>
      <c r="B1197">
        <v>3</v>
      </c>
      <c r="C1197">
        <v>32.353000000000002</v>
      </c>
      <c r="D1197">
        <v>1E-4</v>
      </c>
      <c r="E1197" t="s">
        <v>23</v>
      </c>
      <c r="F1197">
        <v>0</v>
      </c>
      <c r="G1197">
        <f>COUNTIF(E:E,E1197)</f>
        <v>110</v>
      </c>
      <c r="H1197">
        <f>COUNTIFS(E:E,E1197,A:A,A1197,D:D,D1197)</f>
        <v>1</v>
      </c>
      <c r="I1197" t="e">
        <f>SUMIF([1]Mapeamento!$J:$J,A1197,[1]Mapeamento!$L:$L)</f>
        <v>#VALUE!</v>
      </c>
      <c r="J1197" s="1" t="e">
        <f>SUMIF('[1]Map_Meso-Ox'!$C:$C,A1197,'[1]Map_Meso-Ox'!$D:$D)</f>
        <v>#VALUE!</v>
      </c>
      <c r="K1197" s="2" t="e">
        <f t="shared" si="38"/>
        <v>#VALUE!</v>
      </c>
      <c r="L1197" s="1" t="e">
        <f>SUMIF('[1]Map_Meso-Ox'!$C:$C,A1197,'[1]Map_Meso-Ox'!$E:$E)</f>
        <v>#VALUE!</v>
      </c>
      <c r="M1197" s="2" t="e">
        <f t="shared" si="39"/>
        <v>#VALUE!</v>
      </c>
    </row>
    <row r="1198" spans="1:13" x14ac:dyDescent="0.25">
      <c r="A1198">
        <v>97</v>
      </c>
      <c r="B1198">
        <v>3</v>
      </c>
      <c r="C1198">
        <v>23.504000000000001</v>
      </c>
      <c r="D1198">
        <v>2.8E-3</v>
      </c>
      <c r="E1198" t="s">
        <v>23</v>
      </c>
      <c r="F1198">
        <v>1</v>
      </c>
      <c r="G1198">
        <f>COUNTIF(E:E,E1198)</f>
        <v>110</v>
      </c>
      <c r="H1198">
        <f>COUNTIFS(E:E,E1198,A:A,A1198,D:D,D1198)</f>
        <v>1</v>
      </c>
      <c r="I1198" t="e">
        <f>SUMIF([1]Mapeamento!$J:$J,A1198,[1]Mapeamento!$L:$L)</f>
        <v>#VALUE!</v>
      </c>
      <c r="J1198" s="1" t="e">
        <f>SUMIF('[1]Map_Meso-Ox'!$C:$C,A1198,'[1]Map_Meso-Ox'!$D:$D)</f>
        <v>#VALUE!</v>
      </c>
      <c r="K1198" s="2" t="e">
        <f t="shared" si="38"/>
        <v>#VALUE!</v>
      </c>
      <c r="L1198" s="1" t="e">
        <f>SUMIF('[1]Map_Meso-Ox'!$C:$C,A1198,'[1]Map_Meso-Ox'!$E:$E)</f>
        <v>#VALUE!</v>
      </c>
      <c r="M1198" s="2" t="e">
        <f t="shared" si="39"/>
        <v>#VALUE!</v>
      </c>
    </row>
    <row r="1199" spans="1:13" x14ac:dyDescent="0.25">
      <c r="A1199">
        <v>98</v>
      </c>
      <c r="B1199">
        <v>3</v>
      </c>
      <c r="C1199">
        <v>36.063000000000002</v>
      </c>
      <c r="D1199">
        <v>0</v>
      </c>
      <c r="E1199" t="s">
        <v>23</v>
      </c>
      <c r="F1199">
        <v>0</v>
      </c>
      <c r="G1199">
        <f>COUNTIF(E:E,E1199)</f>
        <v>110</v>
      </c>
      <c r="H1199">
        <f>COUNTIFS(E:E,E1199,A:A,A1199,D:D,D1199)</f>
        <v>1</v>
      </c>
      <c r="I1199" t="e">
        <f>SUMIF([1]Mapeamento!$J:$J,A1199,[1]Mapeamento!$L:$L)</f>
        <v>#VALUE!</v>
      </c>
      <c r="J1199" s="1" t="e">
        <f>SUMIF('[1]Map_Meso-Ox'!$C:$C,A1199,'[1]Map_Meso-Ox'!$D:$D)</f>
        <v>#VALUE!</v>
      </c>
      <c r="K1199" s="2" t="e">
        <f t="shared" si="38"/>
        <v>#VALUE!</v>
      </c>
      <c r="L1199" s="1" t="e">
        <f>SUMIF('[1]Map_Meso-Ox'!$C:$C,A1199,'[1]Map_Meso-Ox'!$E:$E)</f>
        <v>#VALUE!</v>
      </c>
      <c r="M1199" s="2" t="e">
        <f t="shared" si="39"/>
        <v>#VALUE!</v>
      </c>
    </row>
    <row r="1200" spans="1:13" x14ac:dyDescent="0.25">
      <c r="A1200">
        <v>99</v>
      </c>
      <c r="B1200">
        <v>3</v>
      </c>
      <c r="C1200">
        <v>26.716000000000001</v>
      </c>
      <c r="D1200">
        <v>8.0000000000000004E-4</v>
      </c>
      <c r="E1200" t="s">
        <v>23</v>
      </c>
      <c r="F1200">
        <v>1</v>
      </c>
      <c r="G1200">
        <f>COUNTIF(E:E,E1200)</f>
        <v>110</v>
      </c>
      <c r="H1200">
        <f>COUNTIFS(E:E,E1200,A:A,A1200,D:D,D1200)</f>
        <v>1</v>
      </c>
      <c r="I1200" t="e">
        <f>SUMIF([1]Mapeamento!$J:$J,A1200,[1]Mapeamento!$L:$L)</f>
        <v>#VALUE!</v>
      </c>
      <c r="J1200" s="1" t="e">
        <f>SUMIF('[1]Map_Meso-Ox'!$C:$C,A1200,'[1]Map_Meso-Ox'!$D:$D)</f>
        <v>#VALUE!</v>
      </c>
      <c r="K1200" s="2" t="e">
        <f t="shared" si="38"/>
        <v>#VALUE!</v>
      </c>
      <c r="L1200" s="1" t="e">
        <f>SUMIF('[1]Map_Meso-Ox'!$C:$C,A1200,'[1]Map_Meso-Ox'!$E:$E)</f>
        <v>#VALUE!</v>
      </c>
      <c r="M1200" s="2" t="e">
        <f t="shared" si="39"/>
        <v>#VALUE!</v>
      </c>
    </row>
    <row r="1201" spans="1:13" x14ac:dyDescent="0.25">
      <c r="A1201">
        <v>100</v>
      </c>
      <c r="B1201">
        <v>3</v>
      </c>
      <c r="C1201">
        <v>42.619</v>
      </c>
      <c r="D1201">
        <v>0</v>
      </c>
      <c r="E1201" t="s">
        <v>23</v>
      </c>
      <c r="F1201">
        <v>2</v>
      </c>
      <c r="G1201">
        <f>COUNTIF(E:E,E1201)</f>
        <v>110</v>
      </c>
      <c r="H1201">
        <f>COUNTIFS(E:E,E1201,A:A,A1201,D:D,D1201)</f>
        <v>1</v>
      </c>
      <c r="I1201" t="e">
        <f>SUMIF([1]Mapeamento!$J:$J,A1201,[1]Mapeamento!$L:$L)</f>
        <v>#VALUE!</v>
      </c>
      <c r="J1201" s="1" t="e">
        <f>SUMIF('[1]Map_Meso-Ox'!$C:$C,A1201,'[1]Map_Meso-Ox'!$D:$D)</f>
        <v>#VALUE!</v>
      </c>
      <c r="K1201" s="2" t="e">
        <f t="shared" si="38"/>
        <v>#VALUE!</v>
      </c>
      <c r="L1201" s="1" t="e">
        <f>SUMIF('[1]Map_Meso-Ox'!$C:$C,A1201,'[1]Map_Meso-Ox'!$E:$E)</f>
        <v>#VALUE!</v>
      </c>
      <c r="M1201" s="2" t="e">
        <f t="shared" si="39"/>
        <v>#VALUE!</v>
      </c>
    </row>
    <row r="1202" spans="1:13" x14ac:dyDescent="0.25">
      <c r="A1202">
        <v>101</v>
      </c>
      <c r="B1202">
        <v>3</v>
      </c>
      <c r="C1202">
        <v>43.965000000000003</v>
      </c>
      <c r="D1202">
        <v>0</v>
      </c>
      <c r="E1202" t="s">
        <v>23</v>
      </c>
      <c r="F1202">
        <v>2</v>
      </c>
      <c r="G1202">
        <f>COUNTIF(E:E,E1202)</f>
        <v>110</v>
      </c>
      <c r="H1202">
        <f>COUNTIFS(E:E,E1202,A:A,A1202,D:D,D1202)</f>
        <v>1</v>
      </c>
      <c r="I1202" t="e">
        <f>SUMIF([1]Mapeamento!$J:$J,A1202,[1]Mapeamento!$L:$L)</f>
        <v>#VALUE!</v>
      </c>
      <c r="J1202" s="1" t="e">
        <f>SUMIF('[1]Map_Meso-Ox'!$C:$C,A1202,'[1]Map_Meso-Ox'!$D:$D)</f>
        <v>#VALUE!</v>
      </c>
      <c r="K1202" s="2" t="e">
        <f t="shared" si="38"/>
        <v>#VALUE!</v>
      </c>
      <c r="L1202" s="1" t="e">
        <f>SUMIF('[1]Map_Meso-Ox'!$C:$C,A1202,'[1]Map_Meso-Ox'!$E:$E)</f>
        <v>#VALUE!</v>
      </c>
      <c r="M1202" s="2" t="e">
        <f t="shared" si="39"/>
        <v>#VALUE!</v>
      </c>
    </row>
    <row r="1203" spans="1:13" x14ac:dyDescent="0.25">
      <c r="A1203">
        <v>102</v>
      </c>
      <c r="B1203">
        <v>3</v>
      </c>
      <c r="C1203">
        <v>24.741</v>
      </c>
      <c r="D1203">
        <v>1.6999999999999999E-3</v>
      </c>
      <c r="E1203" t="s">
        <v>23</v>
      </c>
      <c r="F1203">
        <v>0</v>
      </c>
      <c r="G1203">
        <f>COUNTIF(E:E,E1203)</f>
        <v>110</v>
      </c>
      <c r="H1203">
        <f>COUNTIFS(E:E,E1203,A:A,A1203,D:D,D1203)</f>
        <v>1</v>
      </c>
      <c r="I1203" t="e">
        <f>SUMIF([1]Mapeamento!$J:$J,A1203,[1]Mapeamento!$L:$L)</f>
        <v>#VALUE!</v>
      </c>
      <c r="J1203" s="1" t="e">
        <f>SUMIF('[1]Map_Meso-Ox'!$C:$C,A1203,'[1]Map_Meso-Ox'!$D:$D)</f>
        <v>#VALUE!</v>
      </c>
      <c r="K1203" s="2" t="e">
        <f t="shared" si="38"/>
        <v>#VALUE!</v>
      </c>
      <c r="L1203" s="1" t="e">
        <f>SUMIF('[1]Map_Meso-Ox'!$C:$C,A1203,'[1]Map_Meso-Ox'!$E:$E)</f>
        <v>#VALUE!</v>
      </c>
      <c r="M1203" s="2" t="e">
        <f t="shared" si="39"/>
        <v>#VALUE!</v>
      </c>
    </row>
    <row r="1204" spans="1:13" x14ac:dyDescent="0.25">
      <c r="A1204">
        <v>103</v>
      </c>
      <c r="B1204">
        <v>3</v>
      </c>
      <c r="C1204">
        <v>32.634999999999998</v>
      </c>
      <c r="D1204">
        <v>1E-4</v>
      </c>
      <c r="E1204" t="s">
        <v>23</v>
      </c>
      <c r="F1204">
        <v>1</v>
      </c>
      <c r="G1204">
        <f>COUNTIF(E:E,E1204)</f>
        <v>110</v>
      </c>
      <c r="H1204">
        <f>COUNTIFS(E:E,E1204,A:A,A1204,D:D,D1204)</f>
        <v>1</v>
      </c>
      <c r="I1204" t="e">
        <f>SUMIF([1]Mapeamento!$J:$J,A1204,[1]Mapeamento!$L:$L)</f>
        <v>#VALUE!</v>
      </c>
      <c r="J1204" s="1" t="e">
        <f>SUMIF('[1]Map_Meso-Ox'!$C:$C,A1204,'[1]Map_Meso-Ox'!$D:$D)</f>
        <v>#VALUE!</v>
      </c>
      <c r="K1204" s="2" t="e">
        <f t="shared" si="38"/>
        <v>#VALUE!</v>
      </c>
      <c r="L1204" s="1" t="e">
        <f>SUMIF('[1]Map_Meso-Ox'!$C:$C,A1204,'[1]Map_Meso-Ox'!$E:$E)</f>
        <v>#VALUE!</v>
      </c>
      <c r="M1204" s="2" t="e">
        <f t="shared" si="39"/>
        <v>#VALUE!</v>
      </c>
    </row>
    <row r="1205" spans="1:13" x14ac:dyDescent="0.25">
      <c r="A1205">
        <v>104</v>
      </c>
      <c r="B1205">
        <v>3</v>
      </c>
      <c r="C1205">
        <v>26.393999999999998</v>
      </c>
      <c r="D1205">
        <v>8.9999999999999998E-4</v>
      </c>
      <c r="E1205" t="s">
        <v>23</v>
      </c>
      <c r="F1205">
        <v>1</v>
      </c>
      <c r="G1205">
        <f>COUNTIF(E:E,E1205)</f>
        <v>110</v>
      </c>
      <c r="H1205">
        <f>COUNTIFS(E:E,E1205,A:A,A1205,D:D,D1205)</f>
        <v>1</v>
      </c>
      <c r="I1205" t="e">
        <f>SUMIF([1]Mapeamento!$J:$J,A1205,[1]Mapeamento!$L:$L)</f>
        <v>#VALUE!</v>
      </c>
      <c r="J1205" s="1" t="e">
        <f>SUMIF('[1]Map_Meso-Ox'!$C:$C,A1205,'[1]Map_Meso-Ox'!$D:$D)</f>
        <v>#VALUE!</v>
      </c>
      <c r="K1205" s="2" t="e">
        <f t="shared" si="38"/>
        <v>#VALUE!</v>
      </c>
      <c r="L1205" s="1" t="e">
        <f>SUMIF('[1]Map_Meso-Ox'!$C:$C,A1205,'[1]Map_Meso-Ox'!$E:$E)</f>
        <v>#VALUE!</v>
      </c>
      <c r="M1205" s="2" t="e">
        <f t="shared" si="39"/>
        <v>#VALUE!</v>
      </c>
    </row>
    <row r="1206" spans="1:13" x14ac:dyDescent="0.25">
      <c r="A1206">
        <v>105</v>
      </c>
      <c r="B1206">
        <v>3</v>
      </c>
      <c r="C1206">
        <v>31.119</v>
      </c>
      <c r="D1206">
        <v>1E-4</v>
      </c>
      <c r="E1206" t="s">
        <v>23</v>
      </c>
      <c r="F1206">
        <v>2</v>
      </c>
      <c r="G1206">
        <f>COUNTIF(E:E,E1206)</f>
        <v>110</v>
      </c>
      <c r="H1206">
        <f>COUNTIFS(E:E,E1206,A:A,A1206,D:D,D1206)</f>
        <v>1</v>
      </c>
      <c r="I1206" t="e">
        <f>SUMIF([1]Mapeamento!$J:$J,A1206,[1]Mapeamento!$L:$L)</f>
        <v>#VALUE!</v>
      </c>
      <c r="J1206" s="1" t="e">
        <f>SUMIF('[1]Map_Meso-Ox'!$C:$C,A1206,'[1]Map_Meso-Ox'!$D:$D)</f>
        <v>#VALUE!</v>
      </c>
      <c r="K1206" s="2" t="e">
        <f t="shared" si="38"/>
        <v>#VALUE!</v>
      </c>
      <c r="L1206" s="1" t="e">
        <f>SUMIF('[1]Map_Meso-Ox'!$C:$C,A1206,'[1]Map_Meso-Ox'!$E:$E)</f>
        <v>#VALUE!</v>
      </c>
      <c r="M1206" s="2" t="e">
        <f t="shared" si="39"/>
        <v>#VALUE!</v>
      </c>
    </row>
    <row r="1207" spans="1:13" x14ac:dyDescent="0.25">
      <c r="A1207">
        <v>106</v>
      </c>
      <c r="B1207">
        <v>3</v>
      </c>
      <c r="C1207">
        <v>42.478999999999999</v>
      </c>
      <c r="D1207">
        <v>0</v>
      </c>
      <c r="E1207" t="s">
        <v>23</v>
      </c>
      <c r="F1207">
        <v>2</v>
      </c>
      <c r="G1207">
        <f>COUNTIF(E:E,E1207)</f>
        <v>110</v>
      </c>
      <c r="H1207">
        <f>COUNTIFS(E:E,E1207,A:A,A1207,D:D,D1207)</f>
        <v>1</v>
      </c>
      <c r="I1207" t="e">
        <f>SUMIF([1]Mapeamento!$J:$J,A1207,[1]Mapeamento!$L:$L)</f>
        <v>#VALUE!</v>
      </c>
      <c r="J1207" s="1" t="e">
        <f>SUMIF('[1]Map_Meso-Ox'!$C:$C,A1207,'[1]Map_Meso-Ox'!$D:$D)</f>
        <v>#VALUE!</v>
      </c>
      <c r="K1207" s="2" t="e">
        <f t="shared" si="38"/>
        <v>#VALUE!</v>
      </c>
      <c r="L1207" s="1" t="e">
        <f>SUMIF('[1]Map_Meso-Ox'!$C:$C,A1207,'[1]Map_Meso-Ox'!$E:$E)</f>
        <v>#VALUE!</v>
      </c>
      <c r="M1207" s="2" t="e">
        <f t="shared" si="39"/>
        <v>#VALUE!</v>
      </c>
    </row>
    <row r="1208" spans="1:13" x14ac:dyDescent="0.25">
      <c r="A1208">
        <v>107</v>
      </c>
      <c r="B1208">
        <v>3</v>
      </c>
      <c r="C1208">
        <v>31.632999999999999</v>
      </c>
      <c r="D1208">
        <v>1E-4</v>
      </c>
      <c r="E1208" t="s">
        <v>23</v>
      </c>
      <c r="F1208">
        <v>1</v>
      </c>
      <c r="G1208">
        <f>COUNTIF(E:E,E1208)</f>
        <v>110</v>
      </c>
      <c r="H1208">
        <f>COUNTIFS(E:E,E1208,A:A,A1208,D:D,D1208)</f>
        <v>1</v>
      </c>
      <c r="I1208" t="e">
        <f>SUMIF([1]Mapeamento!$J:$J,A1208,[1]Mapeamento!$L:$L)</f>
        <v>#VALUE!</v>
      </c>
      <c r="J1208" s="1" t="e">
        <f>SUMIF('[1]Map_Meso-Ox'!$C:$C,A1208,'[1]Map_Meso-Ox'!$D:$D)</f>
        <v>#VALUE!</v>
      </c>
      <c r="K1208" s="2" t="e">
        <f t="shared" si="38"/>
        <v>#VALUE!</v>
      </c>
      <c r="L1208" s="1" t="e">
        <f>SUMIF('[1]Map_Meso-Ox'!$C:$C,A1208,'[1]Map_Meso-Ox'!$E:$E)</f>
        <v>#VALUE!</v>
      </c>
      <c r="M1208" s="2" t="e">
        <f t="shared" si="39"/>
        <v>#VALUE!</v>
      </c>
    </row>
    <row r="1209" spans="1:13" x14ac:dyDescent="0.25">
      <c r="A1209">
        <v>108</v>
      </c>
      <c r="B1209">
        <v>3</v>
      </c>
      <c r="C1209">
        <v>35.183999999999997</v>
      </c>
      <c r="D1209">
        <v>0</v>
      </c>
      <c r="E1209" t="s">
        <v>23</v>
      </c>
      <c r="F1209">
        <v>1</v>
      </c>
      <c r="G1209">
        <f>COUNTIF(E:E,E1209)</f>
        <v>110</v>
      </c>
      <c r="H1209">
        <f>COUNTIFS(E:E,E1209,A:A,A1209,D:D,D1209)</f>
        <v>1</v>
      </c>
      <c r="I1209" t="e">
        <f>SUMIF([1]Mapeamento!$J:$J,A1209,[1]Mapeamento!$L:$L)</f>
        <v>#VALUE!</v>
      </c>
      <c r="J1209" s="1" t="e">
        <f>SUMIF('[1]Map_Meso-Ox'!$C:$C,A1209,'[1]Map_Meso-Ox'!$D:$D)</f>
        <v>#VALUE!</v>
      </c>
      <c r="K1209" s="2" t="e">
        <f t="shared" si="38"/>
        <v>#VALUE!</v>
      </c>
      <c r="L1209" s="1" t="e">
        <f>SUMIF('[1]Map_Meso-Ox'!$C:$C,A1209,'[1]Map_Meso-Ox'!$E:$E)</f>
        <v>#VALUE!</v>
      </c>
      <c r="M1209" s="2" t="e">
        <f t="shared" si="39"/>
        <v>#VALUE!</v>
      </c>
    </row>
    <row r="1210" spans="1:13" x14ac:dyDescent="0.25">
      <c r="A1210">
        <v>109</v>
      </c>
      <c r="B1210">
        <v>3</v>
      </c>
      <c r="C1210">
        <v>24.382000000000001</v>
      </c>
      <c r="D1210">
        <v>2E-3</v>
      </c>
      <c r="E1210" t="s">
        <v>23</v>
      </c>
      <c r="F1210">
        <v>1</v>
      </c>
      <c r="G1210">
        <f>COUNTIF(E:E,E1210)</f>
        <v>110</v>
      </c>
      <c r="H1210">
        <f>COUNTIFS(E:E,E1210,A:A,A1210,D:D,D1210)</f>
        <v>1</v>
      </c>
      <c r="I1210" t="e">
        <f>SUMIF([1]Mapeamento!$J:$J,A1210,[1]Mapeamento!$L:$L)</f>
        <v>#VALUE!</v>
      </c>
      <c r="J1210" s="1" t="e">
        <f>SUMIF('[1]Map_Meso-Ox'!$C:$C,A1210,'[1]Map_Meso-Ox'!$D:$D)</f>
        <v>#VALUE!</v>
      </c>
      <c r="K1210" s="2" t="e">
        <f t="shared" si="38"/>
        <v>#VALUE!</v>
      </c>
      <c r="L1210" s="1" t="e">
        <f>SUMIF('[1]Map_Meso-Ox'!$C:$C,A1210,'[1]Map_Meso-Ox'!$E:$E)</f>
        <v>#VALUE!</v>
      </c>
      <c r="M1210" s="2" t="e">
        <f t="shared" si="39"/>
        <v>#VALUE!</v>
      </c>
    </row>
    <row r="1211" spans="1:13" x14ac:dyDescent="0.25">
      <c r="A1211">
        <v>110</v>
      </c>
      <c r="B1211">
        <v>3</v>
      </c>
      <c r="C1211">
        <v>43.359000000000002</v>
      </c>
      <c r="D1211">
        <v>0</v>
      </c>
      <c r="E1211" t="s">
        <v>23</v>
      </c>
      <c r="F1211">
        <v>2</v>
      </c>
      <c r="G1211">
        <f>COUNTIF(E:E,E1211)</f>
        <v>110</v>
      </c>
      <c r="H1211">
        <f>COUNTIFS(E:E,E1211,A:A,A1211,D:D,D1211)</f>
        <v>1</v>
      </c>
      <c r="I1211" t="e">
        <f>SUMIF([1]Mapeamento!$J:$J,A1211,[1]Mapeamento!$L:$L)</f>
        <v>#VALUE!</v>
      </c>
      <c r="J1211" s="1" t="e">
        <f>SUMIF('[1]Map_Meso-Ox'!$C:$C,A1211,'[1]Map_Meso-Ox'!$D:$D)</f>
        <v>#VALUE!</v>
      </c>
      <c r="K1211" s="2" t="e">
        <f t="shared" si="38"/>
        <v>#VALUE!</v>
      </c>
      <c r="L1211" s="1" t="e">
        <f>SUMIF('[1]Map_Meso-Ox'!$C:$C,A1211,'[1]Map_Meso-Ox'!$E:$E)</f>
        <v>#VALUE!</v>
      </c>
      <c r="M1211" s="2" t="e">
        <f t="shared" si="39"/>
        <v>#VALUE!</v>
      </c>
    </row>
  </sheetData>
  <autoFilter ref="A1:M1211" xr:uid="{D133CF60-FA2F-4C17-8F10-2AEED6EC332E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Tebaldi</cp:lastModifiedBy>
  <dcterms:created xsi:type="dcterms:W3CDTF">2026-04-26T01:15:03Z</dcterms:created>
  <dcterms:modified xsi:type="dcterms:W3CDTF">2026-05-13T14:11:09Z</dcterms:modified>
</cp:coreProperties>
</file>